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ucas\Dropbox\Equipamentos\"/>
    </mc:Choice>
  </mc:AlternateContent>
  <bookViews>
    <workbookView xWindow="0" yWindow="0" windowWidth="15600" windowHeight="7755" activeTab="1"/>
  </bookViews>
  <sheets>
    <sheet name="Como usar" sheetId="8" r:id="rId1"/>
    <sheet name="Programa" sheetId="1" r:id="rId2"/>
    <sheet name="Imprimir" sheetId="5" r:id="rId3"/>
    <sheet name="Escala" sheetId="6" r:id="rId4"/>
    <sheet name="Índice" sheetId="4" r:id="rId5"/>
    <sheet name="Categorias" sheetId="7" r:id="rId6"/>
  </sheets>
  <definedNames>
    <definedName name="_xlnm._FilterDatabase" localSheetId="3" hidden="1">Escala!$A$4:$I$4</definedName>
    <definedName name="_xlnm._FilterDatabase" localSheetId="4" hidden="1">Índice!$A$2:$M$500</definedName>
    <definedName name="_xlnm.Print_Area" localSheetId="2">Imprimir!$B$4:$I$44</definedName>
    <definedName name="HabilitarMacros">'Como usar'!$A$9</definedName>
    <definedName name="InicioPrograma">Programa!#REF!</definedName>
    <definedName name="MinimoIntervalo">Programa!$D$6</definedName>
    <definedName name="todasAsCifras">Programa!$C$2</definedName>
    <definedName name="todosOsSlides">Programa!$C$4</definedName>
  </definedNames>
  <calcPr calcId="152511"/>
  <customWorkbookViews>
    <customWorkbookView name="Lucas Mendes - Modo de exibição pessoal" guid="{6BD15B94-8C4F-4BE0-8AF0-6678024D1801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D4" i="4"/>
  <c r="C5" i="4"/>
  <c r="D5" i="4"/>
  <c r="C6" i="4"/>
  <c r="D6" i="4"/>
  <c r="C7" i="4"/>
  <c r="D7" i="4"/>
  <c r="C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C108" i="4"/>
  <c r="D108" i="4"/>
  <c r="C109" i="4"/>
  <c r="D109" i="4"/>
  <c r="C110" i="4"/>
  <c r="D110" i="4"/>
  <c r="C111" i="4"/>
  <c r="D111" i="4"/>
  <c r="C112" i="4"/>
  <c r="D112" i="4"/>
  <c r="C113" i="4"/>
  <c r="D113" i="4"/>
  <c r="C114" i="4"/>
  <c r="D114" i="4"/>
  <c r="C115" i="4"/>
  <c r="D115" i="4"/>
  <c r="C116" i="4"/>
  <c r="D116" i="4"/>
  <c r="C117" i="4"/>
  <c r="D117" i="4"/>
  <c r="C118" i="4"/>
  <c r="D118" i="4"/>
  <c r="C119" i="4"/>
  <c r="D119" i="4"/>
  <c r="C120" i="4"/>
  <c r="D120" i="4"/>
  <c r="C121" i="4"/>
  <c r="D121" i="4"/>
  <c r="C122" i="4"/>
  <c r="D122" i="4"/>
  <c r="C123" i="4"/>
  <c r="D123" i="4"/>
  <c r="C124" i="4"/>
  <c r="D124" i="4"/>
  <c r="C125" i="4"/>
  <c r="D125" i="4"/>
  <c r="C126" i="4"/>
  <c r="D126" i="4"/>
  <c r="C127" i="4"/>
  <c r="D127" i="4"/>
  <c r="C128" i="4"/>
  <c r="D128" i="4"/>
  <c r="C129" i="4"/>
  <c r="D129" i="4"/>
  <c r="C130" i="4"/>
  <c r="D130" i="4"/>
  <c r="C131" i="4"/>
  <c r="D131" i="4"/>
  <c r="C132" i="4"/>
  <c r="D132" i="4"/>
  <c r="C133" i="4"/>
  <c r="D133" i="4"/>
  <c r="C134" i="4"/>
  <c r="D134" i="4"/>
  <c r="C135" i="4"/>
  <c r="D135" i="4"/>
  <c r="C136" i="4"/>
  <c r="D136" i="4"/>
  <c r="C137" i="4"/>
  <c r="D137" i="4"/>
  <c r="C138" i="4"/>
  <c r="D138" i="4"/>
  <c r="C139" i="4"/>
  <c r="D139" i="4"/>
  <c r="C140" i="4"/>
  <c r="D140" i="4"/>
  <c r="C141" i="4"/>
  <c r="D141" i="4"/>
  <c r="C142" i="4"/>
  <c r="D142" i="4"/>
  <c r="C143" i="4"/>
  <c r="D143" i="4"/>
  <c r="C144" i="4"/>
  <c r="D144" i="4"/>
  <c r="C145" i="4"/>
  <c r="D145" i="4"/>
  <c r="C146" i="4"/>
  <c r="D146" i="4"/>
  <c r="C147" i="4"/>
  <c r="D147" i="4"/>
  <c r="C148" i="4"/>
  <c r="D148" i="4"/>
  <c r="C149" i="4"/>
  <c r="D149" i="4"/>
  <c r="C150" i="4"/>
  <c r="D150" i="4"/>
  <c r="C151" i="4"/>
  <c r="D151" i="4"/>
  <c r="C152" i="4"/>
  <c r="D152" i="4"/>
  <c r="C153" i="4"/>
  <c r="D153" i="4"/>
  <c r="C154" i="4"/>
  <c r="D154" i="4"/>
  <c r="C155" i="4"/>
  <c r="D155" i="4"/>
  <c r="C156" i="4"/>
  <c r="D156" i="4"/>
  <c r="C157" i="4"/>
  <c r="D157" i="4"/>
  <c r="C158" i="4"/>
  <c r="D158" i="4"/>
  <c r="C159" i="4"/>
  <c r="D159" i="4"/>
  <c r="C160" i="4"/>
  <c r="D160" i="4"/>
  <c r="C161" i="4"/>
  <c r="D161" i="4"/>
  <c r="C162" i="4"/>
  <c r="D162" i="4"/>
  <c r="C163" i="4"/>
  <c r="D163" i="4"/>
  <c r="C164" i="4"/>
  <c r="D164" i="4"/>
  <c r="C165" i="4"/>
  <c r="D165" i="4"/>
  <c r="C166" i="4"/>
  <c r="D166" i="4"/>
  <c r="C167" i="4"/>
  <c r="D167" i="4"/>
  <c r="C168" i="4"/>
  <c r="D168" i="4"/>
  <c r="C169" i="4"/>
  <c r="D169" i="4"/>
  <c r="C170" i="4"/>
  <c r="D170" i="4"/>
  <c r="C171" i="4"/>
  <c r="D171" i="4"/>
  <c r="C172" i="4"/>
  <c r="D172" i="4"/>
  <c r="C173" i="4"/>
  <c r="D173" i="4"/>
  <c r="C174" i="4"/>
  <c r="D174" i="4"/>
  <c r="C175" i="4"/>
  <c r="D175" i="4"/>
  <c r="C176" i="4"/>
  <c r="D176" i="4"/>
  <c r="C177" i="4"/>
  <c r="D177" i="4"/>
  <c r="C178" i="4"/>
  <c r="D178" i="4"/>
  <c r="C179" i="4"/>
  <c r="D179" i="4"/>
  <c r="C180" i="4"/>
  <c r="D180" i="4"/>
  <c r="C181" i="4"/>
  <c r="D181" i="4"/>
  <c r="C182" i="4"/>
  <c r="D182" i="4"/>
  <c r="C183" i="4"/>
  <c r="D183" i="4"/>
  <c r="C184" i="4"/>
  <c r="D184" i="4"/>
  <c r="C185" i="4"/>
  <c r="D185" i="4"/>
  <c r="C186" i="4"/>
  <c r="D186" i="4"/>
  <c r="C187" i="4"/>
  <c r="D187" i="4"/>
  <c r="C188" i="4"/>
  <c r="D188" i="4"/>
  <c r="C189" i="4"/>
  <c r="D189" i="4"/>
  <c r="C190" i="4"/>
  <c r="D190" i="4"/>
  <c r="C191" i="4"/>
  <c r="D191" i="4"/>
  <c r="C192" i="4"/>
  <c r="D192" i="4"/>
  <c r="C193" i="4"/>
  <c r="D193" i="4"/>
  <c r="C194" i="4"/>
  <c r="D194" i="4"/>
  <c r="C195" i="4"/>
  <c r="D195" i="4"/>
  <c r="C196" i="4"/>
  <c r="D196" i="4"/>
  <c r="C197" i="4"/>
  <c r="D197" i="4"/>
  <c r="C198" i="4"/>
  <c r="D198" i="4"/>
  <c r="C199" i="4"/>
  <c r="D199" i="4"/>
  <c r="C200" i="4"/>
  <c r="D200" i="4"/>
  <c r="C201" i="4"/>
  <c r="D201" i="4"/>
  <c r="C202" i="4"/>
  <c r="D202" i="4"/>
  <c r="C203" i="4"/>
  <c r="D203" i="4"/>
  <c r="C204" i="4"/>
  <c r="D204" i="4"/>
  <c r="C205" i="4"/>
  <c r="D205" i="4"/>
  <c r="C206" i="4"/>
  <c r="D206" i="4"/>
  <c r="C207" i="4"/>
  <c r="D207" i="4"/>
  <c r="C208" i="4"/>
  <c r="D208" i="4"/>
  <c r="C209" i="4"/>
  <c r="D209" i="4"/>
  <c r="C210" i="4"/>
  <c r="D210" i="4"/>
  <c r="C211" i="4"/>
  <c r="D211" i="4"/>
  <c r="C212" i="4"/>
  <c r="D212" i="4"/>
  <c r="C213" i="4"/>
  <c r="D213" i="4"/>
  <c r="C214" i="4"/>
  <c r="D214" i="4"/>
  <c r="C215" i="4"/>
  <c r="D215" i="4"/>
  <c r="C216" i="4"/>
  <c r="D216" i="4"/>
  <c r="C217" i="4"/>
  <c r="D217" i="4"/>
  <c r="C218" i="4"/>
  <c r="D218" i="4"/>
  <c r="C219" i="4"/>
  <c r="D219" i="4"/>
  <c r="C220" i="4"/>
  <c r="D220" i="4"/>
  <c r="C221" i="4"/>
  <c r="D221" i="4"/>
  <c r="C222" i="4"/>
  <c r="D222" i="4"/>
  <c r="C223" i="4"/>
  <c r="D223" i="4"/>
  <c r="C224" i="4"/>
  <c r="D224" i="4"/>
  <c r="C225" i="4"/>
  <c r="D225" i="4"/>
  <c r="C226" i="4"/>
  <c r="D226" i="4"/>
  <c r="C227" i="4"/>
  <c r="D227" i="4"/>
  <c r="C228" i="4"/>
  <c r="D228" i="4"/>
  <c r="C229" i="4"/>
  <c r="D229" i="4"/>
  <c r="C230" i="4"/>
  <c r="D230" i="4"/>
  <c r="C231" i="4"/>
  <c r="D231" i="4"/>
  <c r="C232" i="4"/>
  <c r="D232" i="4"/>
  <c r="C233" i="4"/>
  <c r="D233" i="4"/>
  <c r="C234" i="4"/>
  <c r="D234" i="4"/>
  <c r="C235" i="4"/>
  <c r="D235" i="4"/>
  <c r="C236" i="4"/>
  <c r="D236" i="4"/>
  <c r="C237" i="4"/>
  <c r="D237" i="4"/>
  <c r="C238" i="4"/>
  <c r="D238" i="4"/>
  <c r="C239" i="4"/>
  <c r="D239" i="4"/>
  <c r="C240" i="4"/>
  <c r="D240" i="4"/>
  <c r="C241" i="4"/>
  <c r="D241" i="4"/>
  <c r="C242" i="4"/>
  <c r="D242" i="4"/>
  <c r="C243" i="4"/>
  <c r="D243" i="4"/>
  <c r="C244" i="4"/>
  <c r="D244" i="4"/>
  <c r="C245" i="4"/>
  <c r="D245" i="4"/>
  <c r="C246" i="4"/>
  <c r="D246" i="4"/>
  <c r="C247" i="4"/>
  <c r="D247" i="4"/>
  <c r="C248" i="4"/>
  <c r="D248" i="4"/>
  <c r="C249" i="4"/>
  <c r="D249" i="4"/>
  <c r="C250" i="4"/>
  <c r="D250" i="4"/>
  <c r="C251" i="4"/>
  <c r="D251" i="4"/>
  <c r="C252" i="4"/>
  <c r="D252" i="4"/>
  <c r="C253" i="4"/>
  <c r="D253" i="4"/>
  <c r="C254" i="4"/>
  <c r="D254" i="4"/>
  <c r="C255" i="4"/>
  <c r="D255" i="4"/>
  <c r="C256" i="4"/>
  <c r="D256" i="4"/>
  <c r="C257" i="4"/>
  <c r="D257" i="4"/>
  <c r="C258" i="4"/>
  <c r="D258" i="4"/>
  <c r="C259" i="4"/>
  <c r="D259" i="4"/>
  <c r="C260" i="4"/>
  <c r="D260" i="4"/>
  <c r="C261" i="4"/>
  <c r="D261" i="4"/>
  <c r="C262" i="4"/>
  <c r="D262" i="4"/>
  <c r="C263" i="4"/>
  <c r="D263" i="4"/>
  <c r="C264" i="4"/>
  <c r="D264" i="4"/>
  <c r="C265" i="4"/>
  <c r="D265" i="4"/>
  <c r="C266" i="4"/>
  <c r="D266" i="4"/>
  <c r="C267" i="4"/>
  <c r="D267" i="4"/>
  <c r="C268" i="4"/>
  <c r="D268" i="4"/>
  <c r="C269" i="4"/>
  <c r="D269" i="4"/>
  <c r="C270" i="4"/>
  <c r="D270" i="4"/>
  <c r="C271" i="4"/>
  <c r="D271" i="4"/>
  <c r="C272" i="4"/>
  <c r="D272" i="4"/>
  <c r="C273" i="4"/>
  <c r="D273" i="4"/>
  <c r="C274" i="4"/>
  <c r="D274" i="4"/>
  <c r="C275" i="4"/>
  <c r="D275" i="4"/>
  <c r="C276" i="4"/>
  <c r="D276" i="4"/>
  <c r="C277" i="4"/>
  <c r="D277" i="4"/>
  <c r="C278" i="4"/>
  <c r="D278" i="4"/>
  <c r="C279" i="4"/>
  <c r="D279" i="4"/>
  <c r="C280" i="4"/>
  <c r="D280" i="4"/>
  <c r="C281" i="4"/>
  <c r="D281" i="4"/>
  <c r="C282" i="4"/>
  <c r="D282" i="4"/>
  <c r="C283" i="4"/>
  <c r="D283" i="4"/>
  <c r="C284" i="4"/>
  <c r="D284" i="4"/>
  <c r="C285" i="4"/>
  <c r="D285" i="4"/>
  <c r="C286" i="4"/>
  <c r="D286" i="4"/>
  <c r="C287" i="4"/>
  <c r="D287" i="4"/>
  <c r="C288" i="4"/>
  <c r="D288" i="4"/>
  <c r="C289" i="4"/>
  <c r="D289" i="4"/>
  <c r="C290" i="4"/>
  <c r="D290" i="4"/>
  <c r="C291" i="4"/>
  <c r="D291" i="4"/>
  <c r="C292" i="4"/>
  <c r="D292" i="4"/>
  <c r="C293" i="4"/>
  <c r="D293" i="4"/>
  <c r="C294" i="4"/>
  <c r="D294" i="4"/>
  <c r="C295" i="4"/>
  <c r="D295" i="4"/>
  <c r="C296" i="4"/>
  <c r="D296" i="4"/>
  <c r="C297" i="4"/>
  <c r="D297" i="4"/>
  <c r="C298" i="4"/>
  <c r="D298" i="4"/>
  <c r="C299" i="4"/>
  <c r="D299" i="4"/>
  <c r="C300" i="4"/>
  <c r="D300" i="4"/>
  <c r="C301" i="4"/>
  <c r="D301" i="4"/>
  <c r="C302" i="4"/>
  <c r="D302" i="4"/>
  <c r="C303" i="4"/>
  <c r="D303" i="4"/>
  <c r="C304" i="4"/>
  <c r="D304" i="4"/>
  <c r="C305" i="4"/>
  <c r="D305" i="4"/>
  <c r="C306" i="4"/>
  <c r="D306" i="4"/>
  <c r="C307" i="4"/>
  <c r="D307" i="4"/>
  <c r="C308" i="4"/>
  <c r="D308" i="4"/>
  <c r="C309" i="4"/>
  <c r="D309" i="4"/>
  <c r="C310" i="4"/>
  <c r="D310" i="4"/>
  <c r="C311" i="4"/>
  <c r="D311" i="4"/>
  <c r="C312" i="4"/>
  <c r="D312" i="4"/>
  <c r="C313" i="4"/>
  <c r="D313" i="4"/>
  <c r="C314" i="4"/>
  <c r="D314" i="4"/>
  <c r="C315" i="4"/>
  <c r="D315" i="4"/>
  <c r="C316" i="4"/>
  <c r="D316" i="4"/>
  <c r="C317" i="4"/>
  <c r="D317" i="4"/>
  <c r="C318" i="4"/>
  <c r="D318" i="4"/>
  <c r="C319" i="4"/>
  <c r="D319" i="4"/>
  <c r="C320" i="4"/>
  <c r="D320" i="4"/>
  <c r="C321" i="4"/>
  <c r="D321" i="4"/>
  <c r="C322" i="4"/>
  <c r="D322" i="4"/>
  <c r="C323" i="4"/>
  <c r="D323" i="4"/>
  <c r="C324" i="4"/>
  <c r="D324" i="4"/>
  <c r="C325" i="4"/>
  <c r="D325" i="4"/>
  <c r="C326" i="4"/>
  <c r="D326" i="4"/>
  <c r="C327" i="4"/>
  <c r="D327" i="4"/>
  <c r="C328" i="4"/>
  <c r="D328" i="4"/>
  <c r="C329" i="4"/>
  <c r="D329" i="4"/>
  <c r="C330" i="4"/>
  <c r="D330" i="4"/>
  <c r="C331" i="4"/>
  <c r="D331" i="4"/>
  <c r="C332" i="4"/>
  <c r="D332" i="4"/>
  <c r="C333" i="4"/>
  <c r="D333" i="4"/>
  <c r="C334" i="4"/>
  <c r="D334" i="4"/>
  <c r="C335" i="4"/>
  <c r="D335" i="4"/>
  <c r="C336" i="4"/>
  <c r="D336" i="4"/>
  <c r="C337" i="4"/>
  <c r="D337" i="4"/>
  <c r="C338" i="4"/>
  <c r="D338" i="4"/>
  <c r="C339" i="4"/>
  <c r="D339" i="4"/>
  <c r="C340" i="4"/>
  <c r="D340" i="4"/>
  <c r="C341" i="4"/>
  <c r="D341" i="4"/>
  <c r="C342" i="4"/>
  <c r="D342" i="4"/>
  <c r="C343" i="4"/>
  <c r="D343" i="4"/>
  <c r="C344" i="4"/>
  <c r="D344" i="4"/>
  <c r="C345" i="4"/>
  <c r="D345" i="4"/>
  <c r="C346" i="4"/>
  <c r="D346" i="4"/>
  <c r="C347" i="4"/>
  <c r="D347" i="4"/>
  <c r="C348" i="4"/>
  <c r="D348" i="4"/>
  <c r="C349" i="4"/>
  <c r="D349" i="4"/>
  <c r="C350" i="4"/>
  <c r="D350" i="4"/>
  <c r="C351" i="4"/>
  <c r="D351" i="4"/>
  <c r="C352" i="4"/>
  <c r="D352" i="4"/>
  <c r="C353" i="4"/>
  <c r="D353" i="4"/>
  <c r="C354" i="4"/>
  <c r="D354" i="4"/>
  <c r="C355" i="4"/>
  <c r="D355" i="4"/>
  <c r="C356" i="4"/>
  <c r="D356" i="4"/>
  <c r="C357" i="4"/>
  <c r="D357" i="4"/>
  <c r="C358" i="4"/>
  <c r="D358" i="4"/>
  <c r="C359" i="4"/>
  <c r="D359" i="4"/>
  <c r="C360" i="4"/>
  <c r="D360" i="4"/>
  <c r="C361" i="4"/>
  <c r="D361" i="4"/>
  <c r="C362" i="4"/>
  <c r="D362" i="4"/>
  <c r="C363" i="4"/>
  <c r="D363" i="4"/>
  <c r="C364" i="4"/>
  <c r="D364" i="4"/>
  <c r="C365" i="4"/>
  <c r="D365" i="4"/>
  <c r="C366" i="4"/>
  <c r="D366" i="4"/>
  <c r="C367" i="4"/>
  <c r="D367" i="4"/>
  <c r="C368" i="4"/>
  <c r="D368" i="4"/>
  <c r="C369" i="4"/>
  <c r="D369" i="4"/>
  <c r="C370" i="4"/>
  <c r="D370" i="4"/>
  <c r="C371" i="4"/>
  <c r="D371" i="4"/>
  <c r="C372" i="4"/>
  <c r="D372" i="4"/>
  <c r="C373" i="4"/>
  <c r="D373" i="4"/>
  <c r="C374" i="4"/>
  <c r="D374" i="4"/>
  <c r="C375" i="4"/>
  <c r="D375" i="4"/>
  <c r="C376" i="4"/>
  <c r="D376" i="4"/>
  <c r="C377" i="4"/>
  <c r="D377" i="4"/>
  <c r="C378" i="4"/>
  <c r="D378" i="4"/>
  <c r="C379" i="4"/>
  <c r="D379" i="4"/>
  <c r="C380" i="4"/>
  <c r="D380" i="4"/>
  <c r="C381" i="4"/>
  <c r="D381" i="4"/>
  <c r="C382" i="4"/>
  <c r="D382" i="4"/>
  <c r="C383" i="4"/>
  <c r="D383" i="4"/>
  <c r="C384" i="4"/>
  <c r="D384" i="4"/>
  <c r="C385" i="4"/>
  <c r="D385" i="4"/>
  <c r="C386" i="4"/>
  <c r="D386" i="4"/>
  <c r="C387" i="4"/>
  <c r="D387" i="4"/>
  <c r="C388" i="4"/>
  <c r="D388" i="4"/>
  <c r="C389" i="4"/>
  <c r="D389" i="4"/>
  <c r="C390" i="4"/>
  <c r="D390" i="4"/>
  <c r="C391" i="4"/>
  <c r="D391" i="4"/>
  <c r="C392" i="4"/>
  <c r="D392" i="4"/>
  <c r="C393" i="4"/>
  <c r="D393" i="4"/>
  <c r="C394" i="4"/>
  <c r="D394" i="4"/>
  <c r="C395" i="4"/>
  <c r="D395" i="4"/>
  <c r="C396" i="4"/>
  <c r="D396" i="4"/>
  <c r="C397" i="4"/>
  <c r="D397" i="4"/>
  <c r="C398" i="4"/>
  <c r="D398" i="4"/>
  <c r="C399" i="4"/>
  <c r="D399" i="4"/>
  <c r="C400" i="4"/>
  <c r="D400" i="4"/>
  <c r="C401" i="4"/>
  <c r="D401" i="4"/>
  <c r="C402" i="4"/>
  <c r="D402" i="4"/>
  <c r="C403" i="4"/>
  <c r="D403" i="4"/>
  <c r="C404" i="4"/>
  <c r="D404" i="4"/>
  <c r="C405" i="4"/>
  <c r="D405" i="4"/>
  <c r="C406" i="4"/>
  <c r="D406" i="4"/>
  <c r="C407" i="4"/>
  <c r="D407" i="4"/>
  <c r="C408" i="4"/>
  <c r="D408" i="4"/>
  <c r="C409" i="4"/>
  <c r="D409" i="4"/>
  <c r="C410" i="4"/>
  <c r="D410" i="4"/>
  <c r="C411" i="4"/>
  <c r="D411" i="4"/>
  <c r="C412" i="4"/>
  <c r="D412" i="4"/>
  <c r="C413" i="4"/>
  <c r="D413" i="4"/>
  <c r="C414" i="4"/>
  <c r="D414" i="4"/>
  <c r="C415" i="4"/>
  <c r="D415" i="4"/>
  <c r="C416" i="4"/>
  <c r="D416" i="4"/>
  <c r="C417" i="4"/>
  <c r="D417" i="4"/>
  <c r="C418" i="4"/>
  <c r="D418" i="4"/>
  <c r="C419" i="4"/>
  <c r="D419" i="4"/>
  <c r="C420" i="4"/>
  <c r="D420" i="4"/>
  <c r="C421" i="4"/>
  <c r="D421" i="4"/>
  <c r="C422" i="4"/>
  <c r="D422" i="4"/>
  <c r="C423" i="4"/>
  <c r="D423" i="4"/>
  <c r="C424" i="4"/>
  <c r="D424" i="4"/>
  <c r="C425" i="4"/>
  <c r="D425" i="4"/>
  <c r="C426" i="4"/>
  <c r="D426" i="4"/>
  <c r="C427" i="4"/>
  <c r="D427" i="4"/>
  <c r="C428" i="4"/>
  <c r="D428" i="4"/>
  <c r="C429" i="4"/>
  <c r="D429" i="4"/>
  <c r="C430" i="4"/>
  <c r="D430" i="4"/>
  <c r="C431" i="4"/>
  <c r="D431" i="4"/>
  <c r="C432" i="4"/>
  <c r="D432" i="4"/>
  <c r="C433" i="4"/>
  <c r="D433" i="4"/>
  <c r="C434" i="4"/>
  <c r="D434" i="4"/>
  <c r="C435" i="4"/>
  <c r="D435" i="4"/>
  <c r="C436" i="4"/>
  <c r="D436" i="4"/>
  <c r="C437" i="4"/>
  <c r="D437" i="4"/>
  <c r="C438" i="4"/>
  <c r="D438" i="4"/>
  <c r="C439" i="4"/>
  <c r="D439" i="4"/>
  <c r="C440" i="4"/>
  <c r="D440" i="4"/>
  <c r="C441" i="4"/>
  <c r="D441" i="4"/>
  <c r="C442" i="4"/>
  <c r="D442" i="4"/>
  <c r="C443" i="4"/>
  <c r="D443" i="4"/>
  <c r="C444" i="4"/>
  <c r="D444" i="4"/>
  <c r="C445" i="4"/>
  <c r="D445" i="4"/>
  <c r="C446" i="4"/>
  <c r="D446" i="4"/>
  <c r="C447" i="4"/>
  <c r="D447" i="4"/>
  <c r="C448" i="4"/>
  <c r="D448" i="4"/>
  <c r="C449" i="4"/>
  <c r="D449" i="4"/>
  <c r="C450" i="4"/>
  <c r="D450" i="4"/>
  <c r="C451" i="4"/>
  <c r="D451" i="4"/>
  <c r="C452" i="4"/>
  <c r="D452" i="4"/>
  <c r="C453" i="4"/>
  <c r="D453" i="4"/>
  <c r="C454" i="4"/>
  <c r="D454" i="4"/>
  <c r="C455" i="4"/>
  <c r="D455" i="4"/>
  <c r="C456" i="4"/>
  <c r="D456" i="4"/>
  <c r="C457" i="4"/>
  <c r="D457" i="4"/>
  <c r="C458" i="4"/>
  <c r="D458" i="4"/>
  <c r="C459" i="4"/>
  <c r="D459" i="4"/>
  <c r="C460" i="4"/>
  <c r="D460" i="4"/>
  <c r="C461" i="4"/>
  <c r="D461" i="4"/>
  <c r="C462" i="4"/>
  <c r="D462" i="4"/>
  <c r="C463" i="4"/>
  <c r="D463" i="4"/>
  <c r="C464" i="4"/>
  <c r="D464" i="4"/>
  <c r="C465" i="4"/>
  <c r="D465" i="4"/>
  <c r="C466" i="4"/>
  <c r="D466" i="4"/>
  <c r="C467" i="4"/>
  <c r="D467" i="4"/>
  <c r="C468" i="4"/>
  <c r="D468" i="4"/>
  <c r="C469" i="4"/>
  <c r="D469" i="4"/>
  <c r="C470" i="4"/>
  <c r="D470" i="4"/>
  <c r="C471" i="4"/>
  <c r="D471" i="4"/>
  <c r="C472" i="4"/>
  <c r="D472" i="4"/>
  <c r="C473" i="4"/>
  <c r="D473" i="4"/>
  <c r="C474" i="4"/>
  <c r="D474" i="4"/>
  <c r="C475" i="4"/>
  <c r="D475" i="4"/>
  <c r="C476" i="4"/>
  <c r="D476" i="4"/>
  <c r="C477" i="4"/>
  <c r="D477" i="4"/>
  <c r="C478" i="4"/>
  <c r="D478" i="4"/>
  <c r="C479" i="4"/>
  <c r="D479" i="4"/>
  <c r="C480" i="4"/>
  <c r="D480" i="4"/>
  <c r="C481" i="4"/>
  <c r="D481" i="4"/>
  <c r="C482" i="4"/>
  <c r="D482" i="4"/>
  <c r="C483" i="4"/>
  <c r="D483" i="4"/>
  <c r="C484" i="4"/>
  <c r="D484" i="4"/>
  <c r="C485" i="4"/>
  <c r="D485" i="4"/>
  <c r="C486" i="4"/>
  <c r="D486" i="4"/>
  <c r="C487" i="4"/>
  <c r="D487" i="4"/>
  <c r="C488" i="4"/>
  <c r="D488" i="4"/>
  <c r="C489" i="4"/>
  <c r="D489" i="4"/>
  <c r="C490" i="4"/>
  <c r="D490" i="4"/>
  <c r="C491" i="4"/>
  <c r="D491" i="4"/>
  <c r="C492" i="4"/>
  <c r="D492" i="4"/>
  <c r="C493" i="4"/>
  <c r="D493" i="4"/>
  <c r="C494" i="4"/>
  <c r="D494" i="4"/>
  <c r="C495" i="4"/>
  <c r="D495" i="4"/>
  <c r="C496" i="4"/>
  <c r="D496" i="4"/>
  <c r="C497" i="4"/>
  <c r="D497" i="4"/>
  <c r="C498" i="4"/>
  <c r="D498" i="4"/>
  <c r="C499" i="4"/>
  <c r="D499" i="4"/>
  <c r="C500" i="4"/>
  <c r="D500" i="4"/>
  <c r="B23" i="1" l="1"/>
  <c r="G23" i="1" s="1"/>
  <c r="B22" i="1"/>
  <c r="F22" i="1" s="1"/>
  <c r="B21" i="1"/>
  <c r="F21" i="1" s="1"/>
  <c r="B20" i="1"/>
  <c r="G20" i="1" s="1"/>
  <c r="B19" i="1"/>
  <c r="G19" i="1" s="1"/>
  <c r="B18" i="1"/>
  <c r="F18" i="1" s="1"/>
  <c r="B17" i="1"/>
  <c r="F17" i="1" s="1"/>
  <c r="B16" i="1"/>
  <c r="G16" i="1" s="1"/>
  <c r="B15" i="1"/>
  <c r="G15" i="1" s="1"/>
  <c r="B14" i="1"/>
  <c r="F14" i="1" s="1"/>
  <c r="B13" i="1"/>
  <c r="F13" i="1" s="1"/>
  <c r="B12" i="1"/>
  <c r="F12" i="1" s="1"/>
  <c r="A12" i="1"/>
  <c r="A5" i="6"/>
  <c r="G12" i="1" l="1"/>
  <c r="G21" i="1"/>
  <c r="F16" i="1"/>
  <c r="G17" i="1"/>
  <c r="F20" i="1"/>
  <c r="G13" i="1"/>
  <c r="G14" i="1"/>
  <c r="G18" i="1"/>
  <c r="G22" i="1"/>
  <c r="F15" i="1"/>
  <c r="F19" i="1"/>
  <c r="F23" i="1"/>
  <c r="B35" i="1"/>
  <c r="G35" i="1" s="1"/>
  <c r="B34" i="1"/>
  <c r="F34" i="1" s="1"/>
  <c r="B33" i="1"/>
  <c r="B32" i="1"/>
  <c r="B31" i="1"/>
  <c r="G31" i="1" s="1"/>
  <c r="B30" i="1"/>
  <c r="B29" i="1"/>
  <c r="B28" i="1"/>
  <c r="B27" i="1"/>
  <c r="B26" i="1"/>
  <c r="F26" i="1" s="1"/>
  <c r="B25" i="1"/>
  <c r="B24" i="1"/>
  <c r="G26" i="1" l="1"/>
  <c r="G34" i="1"/>
  <c r="F31" i="1"/>
  <c r="F35" i="1"/>
  <c r="B47" i="1"/>
  <c r="G47" i="1" s="1"/>
  <c r="B46" i="1"/>
  <c r="F46" i="1" s="1"/>
  <c r="B45" i="1"/>
  <c r="F45" i="1" s="1"/>
  <c r="B44" i="1"/>
  <c r="B43" i="1"/>
  <c r="B42" i="1"/>
  <c r="B41" i="1"/>
  <c r="G41" i="1" s="1"/>
  <c r="B40" i="1"/>
  <c r="B39" i="1"/>
  <c r="B38" i="1"/>
  <c r="B37" i="1"/>
  <c r="B36" i="1"/>
  <c r="G29" i="1"/>
  <c r="F29" i="1" l="1"/>
  <c r="G45" i="1"/>
  <c r="F38" i="1"/>
  <c r="G38" i="1"/>
  <c r="F41" i="1"/>
  <c r="G46" i="1"/>
  <c r="F43" i="1"/>
  <c r="F47" i="1"/>
  <c r="G43" i="1"/>
  <c r="G32" i="5" l="1"/>
  <c r="B32" i="5"/>
  <c r="G18" i="5"/>
  <c r="B18" i="5"/>
  <c r="G4" i="5"/>
  <c r="B4" i="5"/>
  <c r="F33" i="1" l="1"/>
  <c r="G33" i="1"/>
  <c r="A6" i="6" l="1"/>
  <c r="D3" i="4"/>
  <c r="G44" i="1"/>
  <c r="G39" i="1"/>
  <c r="G40" i="1"/>
  <c r="G42" i="1"/>
  <c r="G37" i="1"/>
  <c r="G36" i="1"/>
  <c r="G30" i="1" l="1"/>
  <c r="G32" i="1"/>
  <c r="G24" i="1"/>
  <c r="G25" i="1"/>
  <c r="G27" i="1"/>
  <c r="G28" i="1"/>
  <c r="A24" i="1" l="1"/>
  <c r="F44" i="1"/>
  <c r="F42" i="1"/>
  <c r="F40" i="1"/>
  <c r="F39" i="1"/>
  <c r="F36" i="1"/>
  <c r="F37" i="1"/>
  <c r="C3" i="4"/>
  <c r="F30" i="1" l="1"/>
  <c r="F28" i="1"/>
  <c r="F24" i="1"/>
  <c r="F25" i="1"/>
  <c r="F27" i="1"/>
  <c r="F32" i="1"/>
</calcChain>
</file>

<file path=xl/sharedStrings.xml><?xml version="1.0" encoding="utf-8"?>
<sst xmlns="http://schemas.openxmlformats.org/spreadsheetml/2006/main" count="661" uniqueCount="458">
  <si>
    <t>Hino</t>
  </si>
  <si>
    <t>Aclame ao Senhor</t>
  </si>
  <si>
    <t>Data</t>
  </si>
  <si>
    <t>Direção</t>
  </si>
  <si>
    <t>Cordas</t>
  </si>
  <si>
    <t>Teclado</t>
  </si>
  <si>
    <t>Bateria</t>
  </si>
  <si>
    <t>Vocal 1</t>
  </si>
  <si>
    <t>Vocal 2</t>
  </si>
  <si>
    <t>Vocal 3</t>
  </si>
  <si>
    <t>Mesa</t>
  </si>
  <si>
    <t>Legenda:</t>
  </si>
  <si>
    <t>Futuro</t>
  </si>
  <si>
    <t>Passado</t>
  </si>
  <si>
    <t>Próximo</t>
  </si>
  <si>
    <t>Todas as cifras:</t>
  </si>
  <si>
    <t>Todos os slides:</t>
  </si>
  <si>
    <t>Cantada por último há:</t>
  </si>
  <si>
    <t>Responsável</t>
  </si>
  <si>
    <t>A</t>
  </si>
  <si>
    <t>Tom</t>
  </si>
  <si>
    <t>Categoria</t>
  </si>
  <si>
    <t>Cântico</t>
  </si>
  <si>
    <t>Contrição</t>
  </si>
  <si>
    <t>Perdão</t>
  </si>
  <si>
    <t>Temas</t>
  </si>
  <si>
    <t/>
  </si>
  <si>
    <t>Adoração</t>
  </si>
  <si>
    <t>x</t>
  </si>
  <si>
    <t>Missões</t>
  </si>
  <si>
    <t>Gratidão</t>
  </si>
  <si>
    <t>Intervalo para alertar repetições (semanas):</t>
  </si>
  <si>
    <t>No.</t>
  </si>
  <si>
    <t>Após clicar no botão ao lado, vá em Arquivo - Imprimir</t>
  </si>
  <si>
    <t>Música</t>
  </si>
  <si>
    <t>Especial</t>
  </si>
  <si>
    <t>Categorias do Índice</t>
  </si>
  <si>
    <t>Exemplo: se há 150 músicas na planilha "Índice", o doc "Todas as cifras" deve ter 150 páginas, e o ppt "Todos os slides" deve ter 150 slides.</t>
  </si>
  <si>
    <t>Mensagem "Não é possível executar a macro"</t>
  </si>
  <si>
    <t>Mensagem "Erro ao carregar DLL"</t>
  </si>
  <si>
    <t>1. Feche a planilha</t>
  </si>
  <si>
    <t>Vá em Opções do Excel - Central de Confiabilidade - Configurações da Central de Confiabilidade - Configurações de Macro e selecione "Habilitar todas as macros" e "Confiar no acesso ao modelo de objeto do Projeto VBA"</t>
  </si>
  <si>
    <t>3. Abra a planilha</t>
  </si>
  <si>
    <t>2. Desabilite as macros nas Opções do Excel (veja as instruções acima)</t>
  </si>
  <si>
    <t>4. Digite Alt+F11, vá no menu Ferramentas - Referências e desmarque as referências que começam com "AUSENTE".</t>
  </si>
  <si>
    <t>http://www.microsoft.com/pt-br/download/details.aspx?id=39667</t>
  </si>
  <si>
    <t xml:space="preserve">Office 2007: </t>
  </si>
  <si>
    <t>Office 2010:</t>
  </si>
  <si>
    <t>http://www.microsoft.com/pt-br/download/details.aspx?id=27838</t>
  </si>
  <si>
    <t>SOLUÇÃO DEFINITIVA: Instale o Service Pack mais recente do seu Office.</t>
  </si>
  <si>
    <t>http://www.microsoft.com/pt-br/download/details.aspx?id=42017</t>
  </si>
  <si>
    <t>Office 2013:</t>
  </si>
  <si>
    <t>5. Salve e feche a planilha</t>
  </si>
  <si>
    <t>6. Habilite as macros nas Opções do Excel (veja as instruções acima)</t>
  </si>
  <si>
    <t>Instruções para incluir uma música:</t>
  </si>
  <si>
    <t>Cada nova música deve ser adicionada em 3 lugares:
- O nome e o número da música na planilha "Índice"
- As cifras da música no arquivo "Todas as cifras", apontado na planilha "Programa"
- Os slides da música no arquivo "Todos os slides", apontado na planilha "Programa"</t>
  </si>
  <si>
    <t>Instruções para gerar cifras e slides:</t>
  </si>
  <si>
    <t xml:space="preserve"> </t>
  </si>
  <si>
    <r>
      <t xml:space="preserve">Os arquivos "Todas as cifras" e "Todos os slides" devem estar na mesma pasta da planilha e devem ter </t>
    </r>
    <r>
      <rPr>
        <b/>
        <sz val="12"/>
        <color theme="1"/>
        <rFont val="Calibri"/>
        <family val="2"/>
        <scheme val="minor"/>
      </rPr>
      <t>uma música por página/slide</t>
    </r>
    <r>
      <rPr>
        <sz val="12"/>
        <color theme="1"/>
        <rFont val="Calibri"/>
        <family val="2"/>
        <scheme val="minor"/>
      </rPr>
      <t>, numeradas idênticas à planilha "Índice", abaixo.</t>
    </r>
  </si>
  <si>
    <t>Título e primeira linha</t>
  </si>
  <si>
    <t>Meu Jesus, Salvador, outro igual não há</t>
  </si>
  <si>
    <t>A vitória é daquele que contemplar</t>
  </si>
  <si>
    <t>vitória, A</t>
  </si>
  <si>
    <t>Declarando sua glória</t>
  </si>
  <si>
    <t>Declarando sua glória entre as nações</t>
  </si>
  <si>
    <t>Aleluia, Hosana</t>
  </si>
  <si>
    <t>Glória, majestade, força, honra e poder</t>
  </si>
  <si>
    <t>Aliança</t>
  </si>
  <si>
    <t>Como é precioso irmão, estar bem junto a ti</t>
  </si>
  <si>
    <t>Alto preço</t>
  </si>
  <si>
    <t>Eu sei que foi pago um alto preço</t>
  </si>
  <si>
    <t>Tributai ao Senhor</t>
  </si>
  <si>
    <t>Tributai ao Senhor, filhos de Deus</t>
  </si>
  <si>
    <t>Vamos adorar a Deus</t>
  </si>
  <si>
    <t>Amigo verdadeiro</t>
  </si>
  <si>
    <t>Tu és a fonte de vida, o centro de todas as coisas</t>
  </si>
  <si>
    <t>Ao Rei dos reis consagro</t>
  </si>
  <si>
    <t>Ao Rei dos reis consagro tudo o que sou</t>
  </si>
  <si>
    <t>Ao único</t>
  </si>
  <si>
    <t>Ao único que é digno de receber</t>
  </si>
  <si>
    <t>Armados para a guerra</t>
  </si>
  <si>
    <t>Armados pra guerra nós vamos marchar</t>
  </si>
  <si>
    <t>Bendito seja Deus</t>
  </si>
  <si>
    <t>Bendito seja Deus, nossa fortaleza</t>
  </si>
  <si>
    <t>Amor maior</t>
  </si>
  <si>
    <t>Não há um amor maior que o de Jesus</t>
  </si>
  <si>
    <t>Brilha Jesus</t>
  </si>
  <si>
    <t>Vejo a luz do Senhor que brilha</t>
  </si>
  <si>
    <t>Celebrai a Cristo</t>
  </si>
  <si>
    <t>Celebrai a Cristo, celebrai</t>
  </si>
  <si>
    <t>Celebrai com júbilo</t>
  </si>
  <si>
    <t>Celebrai com júbilo ao Senhor</t>
  </si>
  <si>
    <t>Com alegria contemos ao mundo</t>
  </si>
  <si>
    <t>Com alegria contemos ao mundo que Jesus Cristo é Rei</t>
  </si>
  <si>
    <t>Louvemos ao Senhor</t>
  </si>
  <si>
    <t>Louvemos ao Senhor (louvemos ao Senhor)</t>
  </si>
  <si>
    <t>Conheci um grande amigo</t>
  </si>
  <si>
    <t>Corpo e família</t>
  </si>
  <si>
    <t>Recebi um novo coração do Pai</t>
  </si>
  <si>
    <t>Cristo tu és meu refúgio</t>
  </si>
  <si>
    <t>Cristo tu és meu refúgio em quem posso confiar</t>
  </si>
  <si>
    <t>Dai graças</t>
  </si>
  <si>
    <t>Dai graças de coração</t>
  </si>
  <si>
    <t>De todas as tribos</t>
  </si>
  <si>
    <t>De todas as tribos, povos e raças muitos virão te louvar</t>
  </si>
  <si>
    <t>Desde o dia</t>
  </si>
  <si>
    <t>Desde o dia em que aceitei Jesus</t>
  </si>
  <si>
    <t>Deus Eterno</t>
  </si>
  <si>
    <t>Ó Deus, Tu és o meu Deus forte</t>
  </si>
  <si>
    <t>Deus pode fazer</t>
  </si>
  <si>
    <t>Deus pode fazer o impossível acontecer</t>
  </si>
  <si>
    <t>Deus, somente Deus</t>
  </si>
  <si>
    <t>Deus, somente Deus, criou o mundo e o que nele há</t>
  </si>
  <si>
    <t>Deus supremo és</t>
  </si>
  <si>
    <t>Deus supremo és, soberano em glória</t>
  </si>
  <si>
    <t>Ele é o leão</t>
  </si>
  <si>
    <t>Ele é o leão da tribo de Judá</t>
  </si>
  <si>
    <t>Quem sou eu</t>
  </si>
  <si>
    <t>Quem sou eu? Pra que o Deus de toda terra</t>
  </si>
  <si>
    <t>Marcharemos</t>
  </si>
  <si>
    <t>Nós queremos ouvir tua voz</t>
  </si>
  <si>
    <t>Venha comigo celebrar</t>
  </si>
  <si>
    <t>Enche-me Espírito</t>
  </si>
  <si>
    <t>Enche-me Espírito, mais que cheio quero estar</t>
  </si>
  <si>
    <t>Esta paz</t>
  </si>
  <si>
    <t>Esta paz que sinto em minh’alma</t>
  </si>
  <si>
    <t>Estamos reunidos</t>
  </si>
  <si>
    <t>Estamos reunidos aqui Senhor</t>
  </si>
  <si>
    <t>Seja Engrandecido</t>
  </si>
  <si>
    <t>Seja engrandecido, ó Deus da minha vida</t>
  </si>
  <si>
    <t>És a nossa estrela da manhã</t>
  </si>
  <si>
    <t>Estrela da manhã</t>
  </si>
  <si>
    <t>Eu celebrarei / Hosana</t>
  </si>
  <si>
    <t>Eu celebrarei cantando ao Senhor</t>
  </si>
  <si>
    <t>Entrarei em tua presença</t>
  </si>
  <si>
    <t>Exaltai</t>
  </si>
  <si>
    <t>Rei da glória, O</t>
  </si>
  <si>
    <t>O Rei da glória, o Rei dos reis</t>
  </si>
  <si>
    <t>Não há Deus maior</t>
  </si>
  <si>
    <t>Não há Deus maior. Não há Deus melhor</t>
  </si>
  <si>
    <t>Hoje é tempo</t>
  </si>
  <si>
    <t>Hoje é tempo de louvar a Deus</t>
  </si>
  <si>
    <t>Homem de guerra</t>
  </si>
  <si>
    <t>Homem de guerra é Jeová. Seu nome é temido na terra</t>
  </si>
  <si>
    <t>Jesus virá</t>
  </si>
  <si>
    <t>Um dia ainda, desejo eu encontrar</t>
  </si>
  <si>
    <t>Jesus em tua presença</t>
  </si>
  <si>
    <t>Jesus em tua presença reunimo-nos aqui</t>
  </si>
  <si>
    <t>Leão de Judá</t>
  </si>
  <si>
    <t>Ouve-se o júbilo de todos os povos</t>
  </si>
  <si>
    <t>Reina o Senhor</t>
  </si>
  <si>
    <t>Reina o Senhor; tremam os povos</t>
  </si>
  <si>
    <t>Quem pode livrar</t>
  </si>
  <si>
    <t>Quem pode livrar como o Senhor</t>
  </si>
  <si>
    <t>Marchamos</t>
  </si>
  <si>
    <t>Pelo Senhor marchamos, sim</t>
  </si>
  <si>
    <t>Quem nos separará</t>
  </si>
  <si>
    <t>Quem nos separará do amor de Cristo</t>
  </si>
  <si>
    <t>A alegria está no coração de quem já conhece a Jesus</t>
  </si>
  <si>
    <t>Alegria, A</t>
  </si>
  <si>
    <t>Nas estrelas</t>
  </si>
  <si>
    <t>Nas estrelas vejo a sua mão</t>
  </si>
  <si>
    <t>Bendito seja o nome</t>
  </si>
  <si>
    <t>Bendito seja o nome de Cristo Jesus</t>
  </si>
  <si>
    <t>O teu nome exaltarei</t>
  </si>
  <si>
    <t>teu nome exaltarei, O</t>
  </si>
  <si>
    <t>Oferta de amor</t>
  </si>
  <si>
    <t>Venho Senhor minha vida oferecer</t>
  </si>
  <si>
    <t>Quão formoso és</t>
  </si>
  <si>
    <t>Quão formoso és, Rei do universo</t>
  </si>
  <si>
    <t>Os que confiam no Senhor são como os montes de Sião</t>
  </si>
  <si>
    <t>que confiam, Os</t>
  </si>
  <si>
    <t>Povo de Deus</t>
  </si>
  <si>
    <t>Quando estou com o povo de Deus eu sinto a maior alegria</t>
  </si>
  <si>
    <t>Os reis da terra se prostrarão ante a ti, Senhor</t>
  </si>
  <si>
    <t>reis da terra, Os</t>
  </si>
  <si>
    <t>Grandes são as tuas obras Senhor todo poderoso</t>
  </si>
  <si>
    <t>Rei das nações</t>
  </si>
  <si>
    <t>Em todo tempo eu</t>
  </si>
  <si>
    <t>Em todo tempo eu louvarei ao Senhor</t>
  </si>
  <si>
    <t>Vim para adorar-te</t>
  </si>
  <si>
    <t>Vim para adorar-te. Vim para dizer que te amo</t>
  </si>
  <si>
    <t>Bendirei, Senhor</t>
  </si>
  <si>
    <t>Bendirei, Senhor, o teu nome quando tudo for</t>
  </si>
  <si>
    <t>Tu És Minha Rocha</t>
  </si>
  <si>
    <t>És o meu tesouro, meu consolador</t>
  </si>
  <si>
    <t>Água cristalina</t>
  </si>
  <si>
    <t>Como água cristalina de um rio que vai pro mar</t>
  </si>
  <si>
    <t>Cantai ao Senhor</t>
  </si>
  <si>
    <t>Cantai ao Senhor um cântico novo</t>
  </si>
  <si>
    <t>Ele é exaltado</t>
  </si>
  <si>
    <t>Ele é exaltado. O Rei é exaltado no céu</t>
  </si>
  <si>
    <t>Em espírito, em verdade</t>
  </si>
  <si>
    <t>Em espírito, em verdade te adoramos, te adoramos</t>
  </si>
  <si>
    <t>Em nome do Senhor Jesus</t>
  </si>
  <si>
    <t>Em nome do Senhor Jesus quero me entregar pra sempre ao meu Deus</t>
  </si>
  <si>
    <t>Há momentos que na vida</t>
  </si>
  <si>
    <t>Há momentos que na vida pensamos em olhar pra trás</t>
  </si>
  <si>
    <t>Nosso Deus é soberano</t>
  </si>
  <si>
    <t>Nosso Deus é soberano. Ele reina antes da fundação do mundo</t>
  </si>
  <si>
    <t>Grande é o Senhor</t>
  </si>
  <si>
    <t>Grande é o Senhor e mui digno de louvor</t>
  </si>
  <si>
    <t>grande amor do Senhor, O</t>
  </si>
  <si>
    <t>O grande amor do Senhor nunca cessa</t>
  </si>
  <si>
    <t>Jesus te entronizamos</t>
  </si>
  <si>
    <t>Jesus te entronizamos. Declaramos que és rei</t>
  </si>
  <si>
    <t>Amigo de Deus</t>
  </si>
  <si>
    <t>Não existe nada melhor do que ser amigo de Deus</t>
  </si>
  <si>
    <t>Tu és soberano</t>
  </si>
  <si>
    <t>Tu és soberano sobre a terra</t>
  </si>
  <si>
    <t>Desde a antiguidade</t>
  </si>
  <si>
    <t>Desde a antiguidade ainda não se viu ainda não se ouviu</t>
  </si>
  <si>
    <t>Abre meus olhos. Eu quero ver Cristo</t>
  </si>
  <si>
    <t>Abre meus olhos</t>
  </si>
  <si>
    <t>Adorai</t>
  </si>
  <si>
    <t>Adorai em majestade. Toda glória seja dada a Cristo Jesus</t>
  </si>
  <si>
    <t>Renova-me</t>
  </si>
  <si>
    <t>Renova-me Senhor Jesus. Já não quero ser igual</t>
  </si>
  <si>
    <t>Eu te amo ó Deus</t>
  </si>
  <si>
    <t>Eu te amo, ó Deus, e com minha voz te adorarei</t>
  </si>
  <si>
    <t>Viemos aqui</t>
  </si>
  <si>
    <t>Viemos aqui neste lugar. Nos unimos, Senhor, só pra te adorar</t>
  </si>
  <si>
    <t>Buscai primeiro</t>
  </si>
  <si>
    <t>Buscai primeiro o reino de Deus e toda a sua justiça</t>
  </si>
  <si>
    <t>Sem palavras</t>
  </si>
  <si>
    <t xml:space="preserve">Palavras são como o vento </t>
  </si>
  <si>
    <t>Ó, adorai ao Senhor</t>
  </si>
  <si>
    <t>Ó, adorai ao Senhor pois Ele é digno de louvor</t>
  </si>
  <si>
    <t>Enquanto eu calei</t>
  </si>
  <si>
    <t>Enquanto eu calei o meu pecado</t>
  </si>
  <si>
    <t>Jesus Cristo mudou meu viver</t>
  </si>
  <si>
    <t>Rendei graças ao Senhor</t>
  </si>
  <si>
    <t>Rendei graças ao Senhor porque Ele é bom</t>
  </si>
  <si>
    <t>Este é meu corpo</t>
  </si>
  <si>
    <t>Este é meu corpo partido por ti</t>
  </si>
  <si>
    <t>Ele é poderoso</t>
  </si>
  <si>
    <t>Jesus Cristo, poderoso és pra tornar completo todo o meu viver</t>
  </si>
  <si>
    <t>Louvado seja</t>
  </si>
  <si>
    <t>Louvado seja Senhor teu nome</t>
  </si>
  <si>
    <t>Louvai ao Senhor</t>
  </si>
  <si>
    <t>Louvai ao Senhor. Louvai ao Senhor. Bendizei o seu nome para sempre</t>
  </si>
  <si>
    <t>Aleluia! Cristo vivo está. A morte foi vencida</t>
  </si>
  <si>
    <t>Cristo vivo está</t>
  </si>
  <si>
    <t>Te agradeço</t>
  </si>
  <si>
    <t>Te agradeço, ó Pai, pelo amor derramado</t>
  </si>
  <si>
    <t>Pai, Espírito, Jesus</t>
  </si>
  <si>
    <t>A nossa adoração é muito mais que um som</t>
  </si>
  <si>
    <t>Outro igual não há que como Tu, Senhor, toque o meu coração</t>
  </si>
  <si>
    <t>Jesus és meu amado</t>
  </si>
  <si>
    <t>Jesus és meu amado. Jesus nunca te deixarei</t>
  </si>
  <si>
    <t>Senhor é bom, O</t>
  </si>
  <si>
    <t>Entrai em sua presença com hinos de louvor</t>
  </si>
  <si>
    <t>Eu te busco</t>
  </si>
  <si>
    <t>Eu te busco, te procuro, ó Deus</t>
  </si>
  <si>
    <t>Santo, Santo, Santo</t>
  </si>
  <si>
    <t>Santo, Santo, Santo. Santo é o Senhor poderoso</t>
  </si>
  <si>
    <t>Vem, esta é a hora</t>
  </si>
  <si>
    <t>Vem, esta é a hora da adoração</t>
  </si>
  <si>
    <t>Reina em mim</t>
  </si>
  <si>
    <t>Sobre toda a terra Tu és o Rei</t>
  </si>
  <si>
    <t>Teu nome é santo</t>
  </si>
  <si>
    <t>Tu és o Grande Eu Sou. Teu nome é santo</t>
  </si>
  <si>
    <t>Novo canto</t>
  </si>
  <si>
    <t>Novo canto, nova melodia</t>
  </si>
  <si>
    <t>Entrega</t>
  </si>
  <si>
    <t>Te dou meu coração e tudo o que há em mim</t>
  </si>
  <si>
    <t>Te Agradeço Meu Senhor</t>
  </si>
  <si>
    <t>Por tudo o que tens feito</t>
  </si>
  <si>
    <t>Cantai</t>
  </si>
  <si>
    <t>Cantai! Perto está o Senhor</t>
  </si>
  <si>
    <t>És tu única razão da minha adoração, ó Jesus</t>
  </si>
  <si>
    <t>Eu te louvarei</t>
  </si>
  <si>
    <t>Te darei todo o louvor</t>
  </si>
  <si>
    <t>Ao que é digno</t>
  </si>
  <si>
    <t>Ao que é digno de receber a glória</t>
  </si>
  <si>
    <t>Que as palavras dos meus lábios</t>
  </si>
  <si>
    <t>Cantarei teu amor pra sempre</t>
  </si>
  <si>
    <t>Dos montes corre para o mar</t>
  </si>
  <si>
    <t>Geração da conquista</t>
  </si>
  <si>
    <t>Um forte brado eu posso ouvir em toda a terra</t>
  </si>
  <si>
    <t>Abre meus olhos, Senhor</t>
  </si>
  <si>
    <t>Abre meus olhos, Senhor, os olhos do meu coração</t>
  </si>
  <si>
    <t>Nada Além Do Sangue</t>
  </si>
  <si>
    <t>Teu sangue leva-me além a todas as alturas onde ouço a tua voz</t>
  </si>
  <si>
    <t>Este é o dia</t>
  </si>
  <si>
    <t>Este é o dia que o Senhor fez. Me alegrarei, celebrarei</t>
  </si>
  <si>
    <t>Com júbilo e gozo</t>
  </si>
  <si>
    <t>Com júbilo e gozo viemos ao Senhor</t>
  </si>
  <si>
    <t>Juntos</t>
  </si>
  <si>
    <t>Juntos na mesma fé, no mesmo amor</t>
  </si>
  <si>
    <t>Deus da criação, do sol, da terra e mar</t>
  </si>
  <si>
    <t>Tu vais além</t>
  </si>
  <si>
    <t>Sinal do reino</t>
  </si>
  <si>
    <t>Todo dia em Ti me alegrar além dos limites em todo lugar</t>
  </si>
  <si>
    <t>Tua presença</t>
  </si>
  <si>
    <t>Tua presença é o meu lugar</t>
  </si>
  <si>
    <t>Aquele que tem</t>
  </si>
  <si>
    <t>Aquele que tem os meus mandamentos e os guarda</t>
  </si>
  <si>
    <t>És minha força em meio a dor. És o tesouro que busquei</t>
  </si>
  <si>
    <t>Tudo Tu és pra mim</t>
  </si>
  <si>
    <t>Teu olhar</t>
  </si>
  <si>
    <t>Teus olhos revelam que eu nada posso esconder</t>
  </si>
  <si>
    <t>Tua Palavra</t>
  </si>
  <si>
    <t>Tua Palavra é lâmpada aos meus pés e a luz do meu caminho</t>
  </si>
  <si>
    <t>Ergueremos nossa voz</t>
  </si>
  <si>
    <t>Sejam cheios nossos lares de alegria e canções</t>
  </si>
  <si>
    <t>Deus forte</t>
  </si>
  <si>
    <t>Ó Deus tu és o meu Deus forte</t>
  </si>
  <si>
    <t>Junto a Ti</t>
  </si>
  <si>
    <t>Junto a ti, Senhor, sempre quero estar</t>
  </si>
  <si>
    <t>Digno é o Senhor</t>
  </si>
  <si>
    <t>Graças eu te dou, Pai, pelo preço que pagou</t>
  </si>
  <si>
    <t>Este é meu respirar. Teu Santo Espírito vivendo em mim</t>
  </si>
  <si>
    <t>Meu respirar</t>
  </si>
  <si>
    <t>Ainda que a figueira</t>
  </si>
  <si>
    <t>Tu és minha porção</t>
  </si>
  <si>
    <t>Dai graças ao Senhor Deus e Rei. O seu amor é eterno</t>
  </si>
  <si>
    <t>Pra sempre</t>
  </si>
  <si>
    <t>Luz do mundo vieste à terra pra que eu pudesse te ver</t>
  </si>
  <si>
    <t>Vim para adorar-Te / Luz do mundo</t>
  </si>
  <si>
    <t>Fui perdoado porque foi castigado</t>
  </si>
  <si>
    <t>Tão grande amor</t>
  </si>
  <si>
    <t>Cada dia</t>
  </si>
  <si>
    <t>O que dizer, Senhor? Tu me deste a vida</t>
  </si>
  <si>
    <t>Tu és Santo</t>
  </si>
  <si>
    <t>Tu és Santo, poderoso. Tu és digno de todo louvor</t>
  </si>
  <si>
    <t>Assim como a corsa anseia por água</t>
  </si>
  <si>
    <t>Faz chover</t>
  </si>
  <si>
    <t>Doce nome</t>
  </si>
  <si>
    <t>Só de ouvir Tua voz e sentir Teu amor</t>
  </si>
  <si>
    <t>Se não for pra Te adorar</t>
  </si>
  <si>
    <t>Se não for pra Te adorar para que nasci</t>
  </si>
  <si>
    <t>Quero louvar-Te</t>
  </si>
  <si>
    <t>Quero louvar-Te sempre mais e mais</t>
  </si>
  <si>
    <t>Diante da cruz</t>
  </si>
  <si>
    <t>Ó Deus me sondas, conheces-me</t>
  </si>
  <si>
    <t>El Shaddai</t>
  </si>
  <si>
    <t>El Shaddai, El Shaddai, el Elyon na, Adonai</t>
  </si>
  <si>
    <t>És meu maior tesouro. És meu maior bem</t>
  </si>
  <si>
    <t>Jesus meu guia é</t>
  </si>
  <si>
    <t>Jesus meu guia é; amigo e protetor</t>
  </si>
  <si>
    <t>A começar em mim</t>
  </si>
  <si>
    <t>A começar em mim quebra corações</t>
  </si>
  <si>
    <t>A Ele a Glória</t>
  </si>
  <si>
    <t>Porque dEle e por Ele, para Ele são todas as coisas</t>
  </si>
  <si>
    <t>Eu creio em Jesus</t>
  </si>
  <si>
    <t>Eu creio em Jesus. Creio que Ele é o Filho de Deus</t>
  </si>
  <si>
    <t>Teu amor é incrível, firme e constante</t>
  </si>
  <si>
    <t>Teu amor é incrível</t>
  </si>
  <si>
    <t>É Tua graça</t>
  </si>
  <si>
    <t>É Tua graça que liberta. É Tua graça que me cura</t>
  </si>
  <si>
    <t>Louvor e honra</t>
  </si>
  <si>
    <t>Louvor e honra, poder e glória sejam ao Cordeiro de Deus</t>
  </si>
  <si>
    <t>Senhor da glória</t>
  </si>
  <si>
    <t>Estamos congregados para adorar ao único e verdadeiro Deus</t>
  </si>
  <si>
    <t>Adorador</t>
  </si>
  <si>
    <t>Esta canção é só para Ti. Tu és o motivo primeiro</t>
  </si>
  <si>
    <t>Sonda-me, Senhor e me conheces</t>
  </si>
  <si>
    <t>Sonda-me, usa-me</t>
  </si>
  <si>
    <t>Deus de promessas</t>
  </si>
  <si>
    <t>Sei que os Teus olhos sempre atentos permanecem em mim</t>
  </si>
  <si>
    <t>És meu pastor e nada faltará</t>
  </si>
  <si>
    <t>No controle tu estás</t>
  </si>
  <si>
    <t>Ah! Como é bom poder aos pés da cruz depositar</t>
  </si>
  <si>
    <t>Mente e coração</t>
  </si>
  <si>
    <t>Quem é como Deus</t>
  </si>
  <si>
    <t>Quem é como Deus? Não há ninguém</t>
  </si>
  <si>
    <t>Eu Me Alegro Em Ti</t>
  </si>
  <si>
    <t>A ti bendirei pra sempre</t>
  </si>
  <si>
    <t>Com Cristo no meu coração</t>
  </si>
  <si>
    <t>Que mudança gloriosa em mim se operou</t>
  </si>
  <si>
    <t>Em nada ponho minha fé senão na graça de Jesus</t>
  </si>
  <si>
    <t>Firmeza</t>
  </si>
  <si>
    <t>Deus enviou seu Filho ao mundo</t>
  </si>
  <si>
    <t>Porque Ele vive</t>
  </si>
  <si>
    <t>Eu perdido pecador longe do meu Jesus</t>
  </si>
  <si>
    <t>Jesus me transformou</t>
  </si>
  <si>
    <t>Bendita a hora de oração pois traz-nos paz ao coração</t>
  </si>
  <si>
    <t>Hora bendita</t>
  </si>
  <si>
    <t>mensagem da cruz, A</t>
  </si>
  <si>
    <t>Rude cruz se erigiu. Dela o dia fugiu</t>
  </si>
  <si>
    <t>Eis multidões</t>
  </si>
  <si>
    <t>Eis multidões que em trevas tão medonhas</t>
  </si>
  <si>
    <t>Tudo entregarei</t>
  </si>
  <si>
    <t>Tudo, ó Cristo, a Ti entrego</t>
  </si>
  <si>
    <t>Vamos nós trabalhar</t>
  </si>
  <si>
    <t>Vamos nós trabalhar somos servos de Deus</t>
  </si>
  <si>
    <t>Brilha no meio do teu viver</t>
  </si>
  <si>
    <t>Não somente para fazer um feito singular</t>
  </si>
  <si>
    <t>Mas eu sei em quem tenho crido</t>
  </si>
  <si>
    <t>Não sei porque de Deus o amor a mim se revelou</t>
  </si>
  <si>
    <t>A graça eterna de Jesus que veio me libertar</t>
  </si>
  <si>
    <t>graça eterna, A</t>
  </si>
  <si>
    <t>Que segurança! Sou de Jesus! Eu já desfruto as bênçãos da luz</t>
  </si>
  <si>
    <t>Segurança</t>
  </si>
  <si>
    <t>Já refulge a glória eterna de Jesus, o Rei dos reis</t>
  </si>
  <si>
    <t>Vencendo vem Jesus</t>
  </si>
  <si>
    <t>Santo, Santo, Santo. Deus onipotente</t>
  </si>
  <si>
    <t>Cristo, bom Mestre</t>
  </si>
  <si>
    <t>Cristo, bom Mestre, eis meu querer</t>
  </si>
  <si>
    <t>A Deus demos glória com grande fervor</t>
  </si>
  <si>
    <t>Exultação</t>
  </si>
  <si>
    <t>Amor a Jesus</t>
  </si>
  <si>
    <t>Jesus, sempre te amo porque sei que és meu</t>
  </si>
  <si>
    <t>Tu és fiel</t>
  </si>
  <si>
    <t>Tu és fiel, Senhor, meu Pai celeste</t>
  </si>
  <si>
    <t>Ouvi contar a história de Jesus o Rei da glória</t>
  </si>
  <si>
    <t>Vitória em Jesus</t>
  </si>
  <si>
    <t>Louvamos-te, ó Deus, pelo dom de Jesus</t>
  </si>
  <si>
    <t>Louvor</t>
  </si>
  <si>
    <t>Um só rebanho</t>
  </si>
  <si>
    <t>Um só rebanho, um só pastor</t>
  </si>
  <si>
    <t>Manso e suave</t>
  </si>
  <si>
    <t>Manso e suave Jesus está chamando</t>
  </si>
  <si>
    <t>chamada final, A</t>
  </si>
  <si>
    <t>Quando Cristo a trombeta lá do céu mandar tocar</t>
  </si>
  <si>
    <t>Grandioso és tu</t>
  </si>
  <si>
    <t>Senhor, meu Deus, quando eu maravilhado</t>
  </si>
  <si>
    <t>Conta as bênçãos</t>
  </si>
  <si>
    <t>Se da vida as ondas agitadas são</t>
  </si>
  <si>
    <t>Chegado à cruz do meu Salvador</t>
  </si>
  <si>
    <t>Maravilha</t>
  </si>
  <si>
    <t>Firme nas promessas</t>
  </si>
  <si>
    <t>Firme nas promessas do meu Salvador</t>
  </si>
  <si>
    <t>Estou seguro</t>
  </si>
  <si>
    <t>Que consolação tem meu coração</t>
  </si>
  <si>
    <t>Crer e observar</t>
  </si>
  <si>
    <t>Em Jesus confiar, suas leis observar é trilhar um caminho de paz</t>
  </si>
  <si>
    <t>Saudai o nome de Jesus</t>
  </si>
  <si>
    <t>Saudai o nome de Jesus. Arcanjos vos prostrai</t>
  </si>
  <si>
    <t>A ti, ó Deus</t>
  </si>
  <si>
    <t>A ti, ó Deus, fiel e bom Senhor</t>
  </si>
  <si>
    <t>Se paz a mais doce eu puder desfrutar</t>
  </si>
  <si>
    <t>Sou feliz</t>
  </si>
  <si>
    <t>Santo, grande e poderoso és para sempre, meu Senhor</t>
  </si>
  <si>
    <t>Tu és digno de louvor</t>
  </si>
  <si>
    <t>Sê minha vida</t>
  </si>
  <si>
    <t>Sê minha vida, ó Deus de poder</t>
  </si>
  <si>
    <t>Cristo Vem Me Buscar</t>
  </si>
  <si>
    <t>Cristo vem me buscar, para o céu me levará</t>
  </si>
  <si>
    <t>Do teu pecado</t>
  </si>
  <si>
    <t>Do teu pecado te queres livrar?</t>
  </si>
  <si>
    <t>Noite de paz</t>
  </si>
  <si>
    <t>Noite de paz. Noite de amor. Dormem todos em redor</t>
  </si>
  <si>
    <t>Falai pelas montanhas</t>
  </si>
  <si>
    <t>Falai pelas montanhas, nos montes e por todo lugar</t>
  </si>
  <si>
    <t>Cantam anjos harmonias</t>
  </si>
  <si>
    <t>Cantam anjos harmonias ao nascer o Salvador</t>
  </si>
  <si>
    <t>Surgem anjos proclamando</t>
  </si>
  <si>
    <t>Surgem anjos proclamando paz à terra e a Deus louvor</t>
  </si>
  <si>
    <t>Tu deixaste, Jesus, o teu reino de luz</t>
  </si>
  <si>
    <t>Vem, Jesus, habitar comigo</t>
  </si>
  <si>
    <t>Cantai que o Salvador chegou</t>
  </si>
  <si>
    <t>Cantai que o Salvador chegou. Acolha a terra o Rei</t>
  </si>
  <si>
    <t>primeiro Natal, O</t>
  </si>
  <si>
    <t>Proclamaram anjos mil o primeiro Natal a uns pobres pastores</t>
  </si>
  <si>
    <t>Pasta do Louvor - Completa.docx</t>
  </si>
  <si>
    <t>Apresentação - Completa.pptx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</si>
</sst>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"/>
    <numFmt numFmtId="165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6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rgb="FFC00000"/>
      <name val="Calibri"/>
      <family val="2"/>
    </font>
    <font>
      <sz val="12"/>
      <color theme="0" tint="-0.499984740745262"/>
      <name val="Calibri"/>
      <family val="2"/>
    </font>
    <font>
      <u/>
      <sz val="12"/>
      <color theme="10"/>
      <name val="Calibri"/>
      <family val="2"/>
      <scheme val="minor"/>
    </font>
    <font>
      <b/>
      <sz val="24"/>
      <color indexed="8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146">
    <xf numFmtId="0" fontId="0" fillId="0" borderId="0" xfId="0"/>
    <xf numFmtId="0" fontId="1" fillId="0" borderId="0" xfId="1" applyNumberFormat="1" applyFont="1" applyBorder="1" applyAlignment="1" applyProtection="1">
      <alignment vertical="center"/>
    </xf>
    <xf numFmtId="0" fontId="3" fillId="0" borderId="0" xfId="1" applyNumberFormat="1" applyFont="1" applyBorder="1" applyAlignment="1" applyProtection="1">
      <alignment vertical="center"/>
    </xf>
    <xf numFmtId="0" fontId="5" fillId="0" borderId="18" xfId="0" applyFont="1" applyBorder="1" applyAlignment="1" applyProtection="1">
      <alignment horizontal="left" vertical="center"/>
    </xf>
    <xf numFmtId="0" fontId="5" fillId="0" borderId="20" xfId="0" applyFont="1" applyBorder="1" applyAlignment="1" applyProtection="1">
      <alignment horizontal="left" vertical="center"/>
    </xf>
    <xf numFmtId="0" fontId="5" fillId="0" borderId="21" xfId="0" applyFont="1" applyBorder="1" applyAlignment="1" applyProtection="1">
      <alignment horizontal="left" vertical="center"/>
    </xf>
    <xf numFmtId="0" fontId="7" fillId="0" borderId="20" xfId="0" applyFont="1" applyBorder="1" applyAlignment="1" applyProtection="1">
      <alignment vertical="center"/>
    </xf>
    <xf numFmtId="0" fontId="7" fillId="0" borderId="21" xfId="0" applyFont="1" applyBorder="1" applyAlignment="1" applyProtection="1">
      <alignment horizontal="left" vertical="center"/>
    </xf>
    <xf numFmtId="0" fontId="6" fillId="0" borderId="25" xfId="0" applyFont="1" applyBorder="1" applyAlignment="1" applyProtection="1">
      <alignment horizontal="left" vertical="center"/>
    </xf>
    <xf numFmtId="0" fontId="7" fillId="0" borderId="20" xfId="0" applyFont="1" applyBorder="1" applyAlignment="1" applyProtection="1">
      <alignment horizontal="left" vertical="center"/>
    </xf>
    <xf numFmtId="0" fontId="7" fillId="0" borderId="23" xfId="0" applyFont="1" applyBorder="1" applyAlignment="1" applyProtection="1">
      <alignment horizontal="left" vertical="center"/>
    </xf>
    <xf numFmtId="0" fontId="7" fillId="0" borderId="24" xfId="0" applyFont="1" applyBorder="1" applyAlignment="1" applyProtection="1">
      <alignment horizontal="left" vertical="center"/>
    </xf>
    <xf numFmtId="0" fontId="5" fillId="3" borderId="0" xfId="1" applyNumberFormat="1" applyFont="1" applyFill="1" applyBorder="1" applyAlignment="1" applyProtection="1">
      <alignment vertical="center"/>
    </xf>
    <xf numFmtId="0" fontId="5" fillId="0" borderId="5" xfId="1" applyFont="1" applyFill="1" applyBorder="1" applyAlignment="1" applyProtection="1">
      <alignment vertical="center"/>
    </xf>
    <xf numFmtId="0" fontId="5" fillId="0" borderId="0" xfId="1" applyFont="1" applyFill="1" applyBorder="1" applyAlignment="1" applyProtection="1">
      <alignment horizontal="left" vertical="center"/>
    </xf>
    <xf numFmtId="0" fontId="5" fillId="0" borderId="0" xfId="1" applyFont="1" applyFill="1" applyBorder="1" applyAlignment="1" applyProtection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Fill="1" applyBorder="1" applyAlignment="1">
      <alignment vertical="center"/>
    </xf>
    <xf numFmtId="0" fontId="8" fillId="0" borderId="0" xfId="1" applyFont="1" applyAlignment="1">
      <alignment vertical="center"/>
    </xf>
    <xf numFmtId="164" fontId="5" fillId="0" borderId="16" xfId="0" applyNumberFormat="1" applyFont="1" applyBorder="1" applyAlignment="1">
      <alignment horizontal="center" vertical="center"/>
    </xf>
    <xf numFmtId="0" fontId="5" fillId="0" borderId="18" xfId="0" applyFont="1" applyBorder="1" applyAlignment="1" applyProtection="1">
      <alignment horizontal="left" vertical="center"/>
      <protection locked="0"/>
    </xf>
    <xf numFmtId="0" fontId="9" fillId="0" borderId="0" xfId="0" applyFont="1"/>
    <xf numFmtId="0" fontId="9" fillId="0" borderId="0" xfId="0" applyNumberFormat="1" applyFont="1"/>
    <xf numFmtId="14" fontId="9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164" fontId="5" fillId="0" borderId="19" xfId="0" applyNumberFormat="1" applyFont="1" applyBorder="1" applyAlignment="1">
      <alignment horizontal="center" vertical="center"/>
    </xf>
    <xf numFmtId="0" fontId="5" fillId="0" borderId="21" xfId="0" applyFont="1" applyBorder="1" applyAlignment="1" applyProtection="1">
      <alignment horizontal="left" vertical="center"/>
      <protection locked="0"/>
    </xf>
    <xf numFmtId="0" fontId="7" fillId="0" borderId="20" xfId="0" applyFont="1" applyBorder="1" applyAlignment="1" applyProtection="1">
      <alignment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164" fontId="5" fillId="0" borderId="22" xfId="0" applyNumberFormat="1" applyFont="1" applyBorder="1" applyAlignment="1">
      <alignment horizontal="center" vertical="center"/>
    </xf>
    <xf numFmtId="0" fontId="7" fillId="0" borderId="23" xfId="0" applyFont="1" applyBorder="1" applyAlignment="1" applyProtection="1">
      <alignment horizontal="left" vertical="center"/>
      <protection locked="0"/>
    </xf>
    <xf numFmtId="0" fontId="7" fillId="0" borderId="24" xfId="0" applyFont="1" applyBorder="1" applyAlignment="1" applyProtection="1">
      <alignment horizontal="left" vertical="center"/>
      <protection locked="0"/>
    </xf>
    <xf numFmtId="0" fontId="9" fillId="3" borderId="3" xfId="0" applyFont="1" applyFill="1" applyBorder="1" applyProtection="1"/>
    <xf numFmtId="0" fontId="9" fillId="3" borderId="3" xfId="0" applyFont="1" applyFill="1" applyBorder="1"/>
    <xf numFmtId="0" fontId="9" fillId="3" borderId="4" xfId="0" applyFont="1" applyFill="1" applyBorder="1"/>
    <xf numFmtId="0" fontId="9" fillId="3" borderId="12" xfId="0" applyFont="1" applyFill="1" applyBorder="1" applyProtection="1"/>
    <xf numFmtId="0" fontId="9" fillId="3" borderId="10" xfId="0" applyFont="1" applyFill="1" applyBorder="1" applyProtection="1"/>
    <xf numFmtId="0" fontId="9" fillId="3" borderId="10" xfId="0" applyFont="1" applyFill="1" applyBorder="1"/>
    <xf numFmtId="0" fontId="9" fillId="3" borderId="11" xfId="0" applyFont="1" applyFill="1" applyBorder="1"/>
    <xf numFmtId="0" fontId="9" fillId="3" borderId="0" xfId="0" applyFont="1" applyFill="1" applyBorder="1"/>
    <xf numFmtId="0" fontId="9" fillId="3" borderId="6" xfId="0" applyFont="1" applyFill="1" applyBorder="1"/>
    <xf numFmtId="0" fontId="9" fillId="3" borderId="5" xfId="0" applyFont="1" applyFill="1" applyBorder="1" applyProtection="1"/>
    <xf numFmtId="0" fontId="9" fillId="3" borderId="0" xfId="0" applyFont="1" applyFill="1" applyBorder="1" applyProtection="1"/>
    <xf numFmtId="0" fontId="9" fillId="3" borderId="0" xfId="0" applyFont="1" applyFill="1" applyProtection="1"/>
    <xf numFmtId="0" fontId="8" fillId="3" borderId="0" xfId="1" applyFont="1" applyFill="1" applyBorder="1" applyAlignment="1" applyProtection="1">
      <alignment horizontal="right" vertical="center"/>
    </xf>
    <xf numFmtId="0" fontId="9" fillId="3" borderId="1" xfId="0" applyFont="1" applyFill="1" applyBorder="1" applyAlignment="1" applyProtection="1">
      <alignment horizontal="left"/>
    </xf>
    <xf numFmtId="0" fontId="9" fillId="3" borderId="7" xfId="0" applyFont="1" applyFill="1" applyBorder="1" applyProtection="1"/>
    <xf numFmtId="0" fontId="9" fillId="3" borderId="8" xfId="0" applyFont="1" applyFill="1" applyBorder="1" applyProtection="1"/>
    <xf numFmtId="0" fontId="9" fillId="3" borderId="8" xfId="0" applyFont="1" applyFill="1" applyBorder="1"/>
    <xf numFmtId="0" fontId="9" fillId="3" borderId="9" xfId="0" applyFont="1" applyFill="1" applyBorder="1"/>
    <xf numFmtId="0" fontId="8" fillId="3" borderId="2" xfId="1" applyFont="1" applyFill="1" applyBorder="1" applyAlignment="1" applyProtection="1">
      <alignment vertical="center"/>
    </xf>
    <xf numFmtId="0" fontId="8" fillId="3" borderId="3" xfId="1" applyFont="1" applyFill="1" applyBorder="1" applyAlignment="1" applyProtection="1">
      <alignment vertical="center"/>
    </xf>
    <xf numFmtId="0" fontId="8" fillId="3" borderId="3" xfId="1" applyFont="1" applyFill="1" applyBorder="1" applyAlignment="1">
      <alignment vertical="center"/>
    </xf>
    <xf numFmtId="0" fontId="5" fillId="3" borderId="3" xfId="1" applyFont="1" applyFill="1" applyBorder="1" applyAlignment="1">
      <alignment horizontal="right" vertical="center"/>
    </xf>
    <xf numFmtId="0" fontId="8" fillId="3" borderId="4" xfId="1" applyFont="1" applyFill="1" applyBorder="1" applyAlignment="1">
      <alignment vertical="center"/>
    </xf>
    <xf numFmtId="0" fontId="8" fillId="3" borderId="5" xfId="1" applyFont="1" applyFill="1" applyBorder="1" applyAlignment="1" applyProtection="1">
      <alignment vertical="center"/>
    </xf>
    <xf numFmtId="0" fontId="8" fillId="3" borderId="0" xfId="1" applyFont="1" applyFill="1" applyBorder="1" applyAlignment="1" applyProtection="1">
      <alignment vertical="center"/>
    </xf>
    <xf numFmtId="0" fontId="8" fillId="3" borderId="0" xfId="1" applyFont="1" applyFill="1" applyBorder="1" applyAlignment="1">
      <alignment vertical="center"/>
    </xf>
    <xf numFmtId="0" fontId="8" fillId="3" borderId="0" xfId="1" applyFont="1" applyFill="1" applyAlignment="1">
      <alignment vertical="center"/>
    </xf>
    <xf numFmtId="0" fontId="10" fillId="3" borderId="6" xfId="1" applyFont="1" applyFill="1" applyBorder="1" applyAlignment="1">
      <alignment vertical="center"/>
    </xf>
    <xf numFmtId="0" fontId="8" fillId="3" borderId="7" xfId="1" applyFont="1" applyFill="1" applyBorder="1" applyAlignment="1" applyProtection="1">
      <alignment vertical="center"/>
    </xf>
    <xf numFmtId="0" fontId="8" fillId="3" borderId="8" xfId="1" applyFont="1" applyFill="1" applyBorder="1" applyAlignment="1" applyProtection="1">
      <alignment vertical="center"/>
    </xf>
    <xf numFmtId="0" fontId="8" fillId="3" borderId="8" xfId="1" applyFont="1" applyFill="1" applyBorder="1" applyAlignment="1">
      <alignment vertical="center"/>
    </xf>
    <xf numFmtId="0" fontId="9" fillId="0" borderId="0" xfId="0" applyFont="1" applyProtection="1">
      <protection locked="0"/>
    </xf>
    <xf numFmtId="14" fontId="11" fillId="2" borderId="9" xfId="1" applyNumberFormat="1" applyFont="1" applyFill="1" applyBorder="1" applyAlignment="1">
      <alignment vertical="center"/>
    </xf>
    <xf numFmtId="0" fontId="5" fillId="3" borderId="2" xfId="1" applyNumberFormat="1" applyFont="1" applyFill="1" applyBorder="1" applyAlignment="1" applyProtection="1">
      <alignment vertical="center"/>
    </xf>
    <xf numFmtId="0" fontId="5" fillId="3" borderId="3" xfId="1" applyNumberFormat="1" applyFont="1" applyFill="1" applyBorder="1" applyAlignment="1" applyProtection="1">
      <alignment vertical="center"/>
    </xf>
    <xf numFmtId="0" fontId="5" fillId="3" borderId="4" xfId="1" applyNumberFormat="1" applyFont="1" applyFill="1" applyBorder="1" applyAlignment="1" applyProtection="1">
      <alignment vertical="center"/>
    </xf>
    <xf numFmtId="0" fontId="5" fillId="3" borderId="5" xfId="1" applyNumberFormat="1" applyFont="1" applyFill="1" applyBorder="1" applyAlignment="1" applyProtection="1">
      <alignment vertical="center"/>
    </xf>
    <xf numFmtId="0" fontId="5" fillId="3" borderId="6" xfId="1" applyNumberFormat="1" applyFont="1" applyFill="1" applyBorder="1" applyAlignment="1" applyProtection="1">
      <alignment vertical="center"/>
    </xf>
    <xf numFmtId="0" fontId="5" fillId="3" borderId="7" xfId="1" applyNumberFormat="1" applyFont="1" applyFill="1" applyBorder="1" applyAlignment="1" applyProtection="1">
      <alignment vertical="center"/>
    </xf>
    <xf numFmtId="0" fontId="5" fillId="3" borderId="8" xfId="1" applyNumberFormat="1" applyFont="1" applyFill="1" applyBorder="1" applyAlignment="1" applyProtection="1">
      <alignment vertical="center"/>
    </xf>
    <xf numFmtId="0" fontId="5" fillId="3" borderId="9" xfId="1" applyNumberFormat="1" applyFont="1" applyFill="1" applyBorder="1" applyAlignment="1" applyProtection="1">
      <alignment vertical="center"/>
    </xf>
    <xf numFmtId="0" fontId="8" fillId="3" borderId="5" xfId="1" applyFont="1" applyFill="1" applyBorder="1" applyAlignment="1">
      <alignment vertical="center"/>
    </xf>
    <xf numFmtId="0" fontId="8" fillId="3" borderId="7" xfId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8" fillId="0" borderId="0" xfId="1" applyNumberFormat="1" applyFont="1" applyAlignment="1">
      <alignment vertical="center"/>
    </xf>
    <xf numFmtId="0" fontId="5" fillId="0" borderId="28" xfId="1" applyFont="1" applyBorder="1" applyAlignment="1">
      <alignment horizontal="left" vertical="center"/>
    </xf>
    <xf numFmtId="0" fontId="5" fillId="0" borderId="29" xfId="1" applyFont="1" applyBorder="1" applyAlignment="1">
      <alignment horizontal="left" vertical="center"/>
    </xf>
    <xf numFmtId="0" fontId="8" fillId="0" borderId="20" xfId="1" applyFont="1" applyBorder="1" applyAlignment="1">
      <alignment vertical="center"/>
    </xf>
    <xf numFmtId="0" fontId="8" fillId="0" borderId="20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64" fontId="5" fillId="0" borderId="20" xfId="1" applyNumberFormat="1" applyFont="1" applyBorder="1" applyAlignment="1">
      <alignment horizontal="center" vertical="center"/>
    </xf>
    <xf numFmtId="0" fontId="5" fillId="0" borderId="20" xfId="1" applyFont="1" applyBorder="1" applyAlignment="1">
      <alignment vertical="center"/>
    </xf>
    <xf numFmtId="164" fontId="5" fillId="0" borderId="0" xfId="1" applyNumberFormat="1" applyFont="1" applyAlignment="1">
      <alignment horizontal="center" vertical="center"/>
    </xf>
    <xf numFmtId="0" fontId="7" fillId="0" borderId="0" xfId="0" applyFont="1"/>
    <xf numFmtId="0" fontId="7" fillId="3" borderId="34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9" fillId="3" borderId="32" xfId="0" applyFont="1" applyFill="1" applyBorder="1" applyAlignment="1">
      <alignment wrapText="1"/>
    </xf>
    <xf numFmtId="0" fontId="9" fillId="3" borderId="33" xfId="0" applyFont="1" applyFill="1" applyBorder="1" applyAlignment="1">
      <alignment wrapText="1"/>
    </xf>
    <xf numFmtId="0" fontId="8" fillId="0" borderId="0" xfId="0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wrapText="1"/>
    </xf>
    <xf numFmtId="0" fontId="8" fillId="3" borderId="32" xfId="0" applyFont="1" applyFill="1" applyBorder="1" applyAlignment="1">
      <alignment vertical="center" wrapText="1"/>
    </xf>
    <xf numFmtId="0" fontId="12" fillId="3" borderId="32" xfId="2" applyFont="1" applyFill="1" applyBorder="1" applyAlignment="1">
      <alignment wrapText="1"/>
    </xf>
    <xf numFmtId="0" fontId="12" fillId="3" borderId="33" xfId="2" applyFont="1" applyFill="1" applyBorder="1" applyAlignment="1">
      <alignment wrapText="1"/>
    </xf>
    <xf numFmtId="0" fontId="13" fillId="0" borderId="0" xfId="0" applyNumberFormat="1" applyFont="1" applyBorder="1" applyAlignment="1" applyProtection="1">
      <alignment horizontal="center" vertical="center"/>
    </xf>
    <xf numFmtId="0" fontId="3" fillId="0" borderId="2" xfId="1" applyNumberFormat="1" applyFont="1" applyBorder="1" applyAlignment="1" applyProtection="1">
      <alignment vertical="center"/>
    </xf>
    <xf numFmtId="164" fontId="5" fillId="0" borderId="35" xfId="0" applyNumberFormat="1" applyFont="1" applyBorder="1" applyAlignment="1" applyProtection="1">
      <alignment horizontal="left" vertical="center"/>
    </xf>
    <xf numFmtId="164" fontId="5" fillId="0" borderId="36" xfId="0" applyNumberFormat="1" applyFont="1" applyBorder="1" applyAlignment="1" applyProtection="1">
      <alignment horizontal="left" vertical="center"/>
    </xf>
    <xf numFmtId="164" fontId="5" fillId="0" borderId="37" xfId="0" applyNumberFormat="1" applyFont="1" applyBorder="1" applyAlignment="1" applyProtection="1">
      <alignment horizontal="left" vertical="center"/>
    </xf>
    <xf numFmtId="0" fontId="6" fillId="0" borderId="20" xfId="0" applyFont="1" applyBorder="1" applyAlignment="1" applyProtection="1">
      <alignment horizontal="left" vertical="center"/>
    </xf>
    <xf numFmtId="0" fontId="5" fillId="0" borderId="20" xfId="1" applyFont="1" applyBorder="1" applyAlignment="1" applyProtection="1">
      <alignment vertical="center"/>
      <protection locked="0"/>
    </xf>
    <xf numFmtId="0" fontId="5" fillId="0" borderId="25" xfId="1" applyFont="1" applyBorder="1" applyAlignment="1" applyProtection="1">
      <alignment vertical="center"/>
      <protection locked="0"/>
    </xf>
    <xf numFmtId="0" fontId="5" fillId="0" borderId="10" xfId="1" applyFont="1" applyFill="1" applyBorder="1" applyAlignment="1" applyProtection="1">
      <alignment vertical="center"/>
    </xf>
    <xf numFmtId="0" fontId="6" fillId="0" borderId="17" xfId="0" applyFont="1" applyBorder="1" applyAlignment="1" applyProtection="1">
      <alignment horizontal="left" vertical="center"/>
    </xf>
    <xf numFmtId="0" fontId="15" fillId="0" borderId="28" xfId="0" applyFont="1" applyBorder="1" applyAlignment="1">
      <alignment horizontal="left" vertical="center"/>
    </xf>
    <xf numFmtId="164" fontId="15" fillId="0" borderId="20" xfId="0" applyNumberFormat="1" applyFont="1" applyBorder="1" applyAlignment="1">
      <alignment horizontal="center" vertical="center"/>
    </xf>
    <xf numFmtId="0" fontId="15" fillId="0" borderId="20" xfId="0" applyFont="1" applyBorder="1" applyAlignment="1">
      <alignment vertical="center"/>
    </xf>
    <xf numFmtId="0" fontId="17" fillId="0" borderId="20" xfId="1" applyFont="1" applyBorder="1" applyAlignment="1">
      <alignment vertical="center"/>
    </xf>
    <xf numFmtId="164" fontId="16" fillId="0" borderId="20" xfId="0" applyNumberFormat="1" applyFont="1" applyBorder="1" applyAlignment="1">
      <alignment horizontal="center" vertical="center"/>
    </xf>
    <xf numFmtId="0" fontId="16" fillId="0" borderId="20" xfId="0" applyFont="1" applyBorder="1" applyAlignment="1">
      <alignment vertical="center"/>
    </xf>
    <xf numFmtId="0" fontId="15" fillId="0" borderId="20" xfId="0" applyFont="1" applyBorder="1" applyAlignment="1" applyProtection="1">
      <alignment vertical="center"/>
      <protection locked="0"/>
    </xf>
    <xf numFmtId="164" fontId="15" fillId="0" borderId="25" xfId="0" applyNumberFormat="1" applyFont="1" applyBorder="1" applyAlignment="1">
      <alignment horizontal="center" vertical="center"/>
    </xf>
    <xf numFmtId="0" fontId="15" fillId="0" borderId="25" xfId="0" applyFont="1" applyBorder="1" applyAlignment="1">
      <alignment vertical="center"/>
    </xf>
    <xf numFmtId="0" fontId="17" fillId="0" borderId="25" xfId="1" applyFont="1" applyBorder="1" applyAlignment="1">
      <alignment vertical="center"/>
    </xf>
    <xf numFmtId="0" fontId="8" fillId="0" borderId="25" xfId="1" applyFont="1" applyBorder="1" applyAlignment="1">
      <alignment vertical="center"/>
    </xf>
    <xf numFmtId="0" fontId="8" fillId="0" borderId="25" xfId="1" applyFont="1" applyBorder="1" applyAlignment="1">
      <alignment horizontal="center" vertical="center"/>
    </xf>
    <xf numFmtId="165" fontId="9" fillId="0" borderId="17" xfId="0" applyNumberFormat="1" applyFont="1" applyBorder="1" applyAlignment="1">
      <alignment horizontal="center" vertical="center"/>
    </xf>
    <xf numFmtId="165" fontId="9" fillId="0" borderId="20" xfId="0" applyNumberFormat="1" applyFont="1" applyBorder="1" applyAlignment="1">
      <alignment horizontal="center" vertical="center"/>
    </xf>
    <xf numFmtId="165" fontId="16" fillId="0" borderId="20" xfId="0" applyNumberFormat="1" applyFont="1" applyBorder="1" applyAlignment="1">
      <alignment horizontal="center" vertical="center"/>
    </xf>
    <xf numFmtId="165" fontId="8" fillId="0" borderId="0" xfId="1" applyNumberFormat="1" applyFont="1" applyAlignment="1">
      <alignment horizontal="center" vertical="center"/>
    </xf>
    <xf numFmtId="0" fontId="9" fillId="0" borderId="17" xfId="0" applyNumberFormat="1" applyFont="1" applyBorder="1" applyAlignment="1"/>
    <xf numFmtId="0" fontId="9" fillId="0" borderId="20" xfId="0" applyNumberFormat="1" applyFont="1" applyBorder="1" applyAlignment="1"/>
    <xf numFmtId="164" fontId="16" fillId="0" borderId="20" xfId="0" applyNumberFormat="1" applyFont="1" applyBorder="1" applyAlignment="1"/>
    <xf numFmtId="164" fontId="8" fillId="0" borderId="0" xfId="1" applyNumberFormat="1" applyFont="1" applyAlignment="1"/>
    <xf numFmtId="14" fontId="5" fillId="0" borderId="13" xfId="1" applyNumberFormat="1" applyFont="1" applyBorder="1" applyAlignment="1">
      <alignment horizontal="center" vertical="center"/>
    </xf>
    <xf numFmtId="14" fontId="5" fillId="0" borderId="14" xfId="1" applyNumberFormat="1" applyFont="1" applyBorder="1" applyAlignment="1">
      <alignment horizontal="center" vertical="center"/>
    </xf>
    <xf numFmtId="14" fontId="5" fillId="0" borderId="15" xfId="1" applyNumberFormat="1" applyFont="1" applyBorder="1" applyAlignment="1">
      <alignment horizontal="center" vertical="center"/>
    </xf>
    <xf numFmtId="0" fontId="9" fillId="3" borderId="5" xfId="0" applyFont="1" applyFill="1" applyBorder="1" applyAlignment="1" applyProtection="1">
      <alignment horizontal="right"/>
    </xf>
    <xf numFmtId="0" fontId="9" fillId="3" borderId="6" xfId="0" applyFont="1" applyFill="1" applyBorder="1" applyAlignment="1" applyProtection="1">
      <alignment horizontal="right"/>
    </xf>
    <xf numFmtId="0" fontId="13" fillId="0" borderId="8" xfId="0" applyNumberFormat="1" applyFont="1" applyBorder="1" applyAlignment="1" applyProtection="1">
      <alignment horizontal="center" vertical="center"/>
    </xf>
    <xf numFmtId="14" fontId="5" fillId="0" borderId="2" xfId="1" applyNumberFormat="1" applyFont="1" applyBorder="1" applyAlignment="1" applyProtection="1">
      <alignment horizontal="center" vertical="center"/>
    </xf>
    <xf numFmtId="14" fontId="5" fillId="0" borderId="5" xfId="1" applyNumberFormat="1" applyFont="1" applyBorder="1" applyAlignment="1" applyProtection="1">
      <alignment horizontal="center" vertical="center"/>
    </xf>
    <xf numFmtId="14" fontId="5" fillId="0" borderId="7" xfId="1" applyNumberFormat="1" applyFont="1" applyBorder="1" applyAlignment="1" applyProtection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30" xfId="1" applyFont="1" applyBorder="1" applyAlignment="1">
      <alignment horizontal="left" vertical="top"/>
    </xf>
    <xf numFmtId="0" fontId="5" fillId="0" borderId="31" xfId="1" applyFont="1" applyBorder="1" applyAlignment="1">
      <alignment horizontal="left" vertical="top"/>
    </xf>
    <xf numFmtId="164" fontId="5" fillId="0" borderId="13" xfId="1" applyNumberFormat="1" applyFont="1" applyBorder="1" applyAlignment="1">
      <alignment horizontal="left" vertical="top"/>
    </xf>
    <xf numFmtId="164" fontId="5" fillId="0" borderId="15" xfId="1" applyNumberFormat="1" applyFont="1" applyBorder="1" applyAlignment="1">
      <alignment horizontal="left" vertical="top"/>
    </xf>
    <xf numFmtId="0" fontId="5" fillId="0" borderId="38" xfId="1" applyNumberFormat="1" applyFont="1" applyFill="1" applyBorder="1" applyAlignment="1">
      <alignment horizontal="center" vertical="top"/>
    </xf>
    <xf numFmtId="0" fontId="5" fillId="0" borderId="39" xfId="1" applyNumberFormat="1" applyFont="1" applyFill="1" applyBorder="1" applyAlignment="1">
      <alignment horizontal="center" vertical="top"/>
    </xf>
    <xf numFmtId="0" fontId="5" fillId="0" borderId="40" xfId="1" applyNumberFormat="1" applyFont="1" applyFill="1" applyBorder="1" applyAlignment="1">
      <alignment horizontal="center" vertical="top"/>
    </xf>
    <xf numFmtId="0" fontId="5" fillId="0" borderId="41" xfId="1" applyNumberFormat="1" applyFont="1" applyFill="1" applyBorder="1" applyAlignment="1">
      <alignment horizontal="center" vertical="top"/>
    </xf>
  </cellXfs>
  <cellStyles count="3">
    <cellStyle name="Hiperlink" xfId="2" builtinId="8"/>
    <cellStyle name="Normal" xfId="0" builtinId="0"/>
    <cellStyle name="Normal 2" xfId="1"/>
  </cellStyles>
  <dxfs count="29">
    <dxf>
      <font>
        <b/>
        <i val="0"/>
        <color auto="1"/>
      </font>
      <fill>
        <patternFill>
          <bgColor rgb="FFFFB19F"/>
        </patternFill>
      </fill>
    </dxf>
    <dxf>
      <font>
        <b/>
        <i val="0"/>
        <color auto="1"/>
      </font>
      <fill>
        <patternFill>
          <bgColor rgb="FFFFB19F"/>
        </patternFill>
      </fill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color theme="0" tint="-0.499984740745262"/>
      </font>
      <fill>
        <patternFill>
          <bgColor rgb="FFF9F9F9"/>
        </patternFill>
      </fill>
    </dxf>
    <dxf>
      <font>
        <color rgb="FFC00000"/>
      </font>
    </dxf>
    <dxf>
      <font>
        <b/>
        <i val="0"/>
        <color auto="1"/>
      </font>
      <fill>
        <patternFill>
          <bgColor rgb="FFFFB19F"/>
        </patternFill>
      </fill>
    </dxf>
    <dxf>
      <font>
        <b/>
        <i val="0"/>
        <color auto="1"/>
      </font>
      <fill>
        <patternFill>
          <bgColor rgb="FFFFB19F"/>
        </patternFill>
      </fill>
    </dxf>
    <dxf>
      <font>
        <b/>
        <i val="0"/>
        <color auto="1"/>
      </font>
      <fill>
        <patternFill>
          <bgColor rgb="FFFFB19F"/>
        </patternFill>
      </fill>
    </dxf>
  </dxfs>
  <tableStyles count="0" defaultTableStyle="TableStyleMedium2" defaultPivotStyle="PivotStyleLight16"/>
  <colors>
    <mruColors>
      <color rgb="FFF9F9F9"/>
      <color rgb="FFFFB19F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390525</xdr:colOff>
          <xdr:row>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cifras e slides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161925</xdr:rowOff>
        </xdr:from>
        <xdr:to>
          <xdr:col>8</xdr:col>
          <xdr:colOff>390525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Procurar...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390525</xdr:colOff>
          <xdr:row>4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Procurar...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1323975</xdr:colOff>
          <xdr:row>9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Inserir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523875</xdr:colOff>
          <xdr:row>9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Remover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85725</xdr:rowOff>
        </xdr:from>
        <xdr:to>
          <xdr:col>6</xdr:col>
          <xdr:colOff>428625</xdr:colOff>
          <xdr:row>6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Preencher planilha "Imprimir"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66675</xdr:rowOff>
        </xdr:from>
        <xdr:to>
          <xdr:col>2</xdr:col>
          <xdr:colOff>1219200</xdr:colOff>
          <xdr:row>2</xdr:row>
          <xdr:rowOff>114300</xdr:rowOff>
        </xdr:to>
        <xdr:sp macro="" textlink="">
          <xdr:nvSpPr>
            <xdr:cNvPr id="2808" name="Button 760" hidden="1">
              <a:extLst>
                <a:ext uri="{63B3BB69-23CF-44E3-9099-C40C66FF867C}">
                  <a14:compatExt spid="_x0000_s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Preencher planilha "Imprimir"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542925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Inserir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647700</xdr:colOff>
          <xdr:row>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Remover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microsoft.com/pt-br/download/details.aspx?id=42017" TargetMode="External"/><Relationship Id="rId2" Type="http://schemas.openxmlformats.org/officeDocument/2006/relationships/hyperlink" Target="http://www.microsoft.com/pt-br/download/details.aspx?id=39667" TargetMode="External"/><Relationship Id="rId1" Type="http://schemas.openxmlformats.org/officeDocument/2006/relationships/hyperlink" Target="http://www.microsoft.com/pt-br/download/details.aspx?id=2783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25"/>
  <sheetViews>
    <sheetView topLeftCell="A16" workbookViewId="0">
      <selection sqref="A1:A25"/>
    </sheetView>
  </sheetViews>
  <sheetFormatPr defaultColWidth="8.85546875" defaultRowHeight="15.75" x14ac:dyDescent="0.25"/>
  <cols>
    <col min="1" max="1" width="44.85546875" style="89" customWidth="1"/>
    <col min="2" max="16384" width="8.85546875" style="89"/>
  </cols>
  <sheetData>
    <row r="1" spans="1:5" x14ac:dyDescent="0.25">
      <c r="A1" s="88" t="s">
        <v>56</v>
      </c>
    </row>
    <row r="2" spans="1:5" ht="78.75" x14ac:dyDescent="0.25">
      <c r="A2" s="90" t="s">
        <v>58</v>
      </c>
    </row>
    <row r="3" spans="1:5" ht="63.75" thickBot="1" x14ac:dyDescent="0.3">
      <c r="A3" s="91" t="s">
        <v>37</v>
      </c>
    </row>
    <row r="4" spans="1:5" ht="16.5" thickBot="1" x14ac:dyDescent="0.3"/>
    <row r="5" spans="1:5" x14ac:dyDescent="0.25">
      <c r="A5" s="88" t="s">
        <v>54</v>
      </c>
    </row>
    <row r="6" spans="1:5" ht="126.75" thickBot="1" x14ac:dyDescent="0.3">
      <c r="A6" s="91" t="s">
        <v>55</v>
      </c>
    </row>
    <row r="7" spans="1:5" ht="16.5" thickBot="1" x14ac:dyDescent="0.3"/>
    <row r="8" spans="1:5" ht="31.5" x14ac:dyDescent="0.25">
      <c r="A8" s="88" t="s">
        <v>38</v>
      </c>
    </row>
    <row r="9" spans="1:5" ht="95.25" thickBot="1" x14ac:dyDescent="0.3">
      <c r="A9" s="91" t="s">
        <v>41</v>
      </c>
    </row>
    <row r="10" spans="1:5" ht="16.5" thickBot="1" x14ac:dyDescent="0.3"/>
    <row r="11" spans="1:5" x14ac:dyDescent="0.25">
      <c r="A11" s="88" t="s">
        <v>39</v>
      </c>
      <c r="B11" s="92"/>
      <c r="C11" s="92"/>
      <c r="D11" s="92"/>
      <c r="E11" s="93"/>
    </row>
    <row r="12" spans="1:5" x14ac:dyDescent="0.25">
      <c r="A12" s="94" t="s">
        <v>40</v>
      </c>
      <c r="B12" s="92"/>
      <c r="C12" s="92"/>
      <c r="D12" s="92"/>
      <c r="E12" s="93"/>
    </row>
    <row r="13" spans="1:5" ht="31.5" x14ac:dyDescent="0.25">
      <c r="A13" s="94" t="s">
        <v>43</v>
      </c>
      <c r="B13" s="92"/>
      <c r="C13" s="92"/>
      <c r="D13" s="92"/>
      <c r="E13" s="93"/>
    </row>
    <row r="14" spans="1:5" x14ac:dyDescent="0.25">
      <c r="A14" s="90" t="s">
        <v>42</v>
      </c>
    </row>
    <row r="15" spans="1:5" ht="47.25" x14ac:dyDescent="0.25">
      <c r="A15" s="90" t="s">
        <v>44</v>
      </c>
    </row>
    <row r="16" spans="1:5" x14ac:dyDescent="0.25">
      <c r="A16" s="94" t="s">
        <v>52</v>
      </c>
    </row>
    <row r="17" spans="1:1" ht="31.5" x14ac:dyDescent="0.25">
      <c r="A17" s="94" t="s">
        <v>53</v>
      </c>
    </row>
    <row r="18" spans="1:1" x14ac:dyDescent="0.25">
      <c r="A18" s="94"/>
    </row>
    <row r="19" spans="1:1" ht="31.5" x14ac:dyDescent="0.25">
      <c r="A19" s="90" t="s">
        <v>49</v>
      </c>
    </row>
    <row r="20" spans="1:1" x14ac:dyDescent="0.25">
      <c r="A20" s="90" t="s">
        <v>46</v>
      </c>
    </row>
    <row r="21" spans="1:1" ht="31.5" x14ac:dyDescent="0.25">
      <c r="A21" s="95" t="s">
        <v>48</v>
      </c>
    </row>
    <row r="22" spans="1:1" x14ac:dyDescent="0.25">
      <c r="A22" s="90" t="s">
        <v>47</v>
      </c>
    </row>
    <row r="23" spans="1:1" ht="31.5" x14ac:dyDescent="0.25">
      <c r="A23" s="95" t="s">
        <v>45</v>
      </c>
    </row>
    <row r="24" spans="1:1" x14ac:dyDescent="0.25">
      <c r="A24" s="90" t="s">
        <v>51</v>
      </c>
    </row>
    <row r="25" spans="1:1" ht="32.25" thickBot="1" x14ac:dyDescent="0.3">
      <c r="A25" s="96" t="s">
        <v>50</v>
      </c>
    </row>
  </sheetData>
  <hyperlinks>
    <hyperlink ref="A21" r:id="rId1"/>
    <hyperlink ref="A23" r:id="rId2"/>
    <hyperlink ref="A25" r:id="rId3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47"/>
  <sheetViews>
    <sheetView tabSelected="1" workbookViewId="0">
      <pane ySplit="11" topLeftCell="A12" activePane="bottomLeft" state="frozen"/>
      <selection pane="bottomLeft" activeCell="A12" sqref="A12:A23"/>
    </sheetView>
  </sheetViews>
  <sheetFormatPr defaultColWidth="9.140625" defaultRowHeight="15.75" x14ac:dyDescent="0.25"/>
  <cols>
    <col min="1" max="1" width="12.140625" style="21" customWidth="1"/>
    <col min="2" max="2" width="4.42578125" style="21" bestFit="1" customWidth="1"/>
    <col min="3" max="3" width="27.85546875" style="64" customWidth="1"/>
    <col min="4" max="4" width="12" style="64" customWidth="1"/>
    <col min="5" max="5" width="10.7109375" style="21" bestFit="1" customWidth="1"/>
    <col min="6" max="6" width="11.85546875" style="21" customWidth="1"/>
    <col min="7" max="7" width="12.140625" style="21" bestFit="1" customWidth="1"/>
    <col min="8" max="8" width="12.42578125" style="21" bestFit="1" customWidth="1"/>
    <col min="9" max="16384" width="9.140625" style="21"/>
  </cols>
  <sheetData>
    <row r="1" spans="1:9" ht="16.5" thickBot="1" x14ac:dyDescent="0.3">
      <c r="A1"/>
      <c r="B1" s="33"/>
      <c r="C1" s="33"/>
      <c r="D1" s="33"/>
      <c r="E1" s="34"/>
      <c r="F1" s="34"/>
      <c r="G1" s="34"/>
      <c r="H1" s="34"/>
      <c r="I1" s="35"/>
    </row>
    <row r="2" spans="1:9" ht="16.5" thickBot="1" x14ac:dyDescent="0.3">
      <c r="A2" s="130" t="s">
        <v>15</v>
      </c>
      <c r="B2" s="131"/>
      <c r="C2" s="36" t="s">
        <v>456</v>
      </c>
      <c r="D2" s="37"/>
      <c r="E2" s="38"/>
      <c r="F2" s="38"/>
      <c r="G2" s="39"/>
      <c r="H2" s="40"/>
      <c r="I2" s="41"/>
    </row>
    <row r="3" spans="1:9" ht="16.5" thickBot="1" x14ac:dyDescent="0.3">
      <c r="A3" s="42"/>
      <c r="B3" s="43"/>
      <c r="C3" s="43"/>
      <c r="D3" s="43"/>
      <c r="E3" s="40"/>
      <c r="F3" s="40"/>
      <c r="G3" s="40"/>
      <c r="H3" s="40"/>
      <c r="I3" s="41"/>
    </row>
    <row r="4" spans="1:9" ht="16.5" thickBot="1" x14ac:dyDescent="0.3">
      <c r="A4" s="130" t="s">
        <v>16</v>
      </c>
      <c r="B4" s="131"/>
      <c r="C4" s="36" t="s">
        <v>457</v>
      </c>
      <c r="D4" s="37"/>
      <c r="E4" s="38"/>
      <c r="F4" s="38"/>
      <c r="G4" s="39"/>
      <c r="H4" s="40"/>
      <c r="I4" s="41"/>
    </row>
    <row r="5" spans="1:9" ht="16.5" thickBot="1" x14ac:dyDescent="0.3">
      <c r="A5" s="44"/>
      <c r="B5" s="43"/>
      <c r="C5" s="43"/>
      <c r="D5" s="43"/>
      <c r="E5" s="40"/>
      <c r="F5" s="40"/>
      <c r="G5" s="40"/>
      <c r="H5" s="40"/>
      <c r="I5" s="41"/>
    </row>
    <row r="6" spans="1:9" ht="16.5" thickBot="1" x14ac:dyDescent="0.3">
      <c r="A6" s="42"/>
      <c r="B6" s="44"/>
      <c r="C6" s="45" t="s">
        <v>31</v>
      </c>
      <c r="D6" s="46">
        <v>4</v>
      </c>
      <c r="F6" s="40"/>
      <c r="G6" s="40"/>
      <c r="H6" s="40"/>
      <c r="I6" s="41"/>
    </row>
    <row r="7" spans="1:9" ht="16.5" thickBot="1" x14ac:dyDescent="0.3">
      <c r="A7" s="47"/>
      <c r="B7" s="48"/>
      <c r="C7" s="48"/>
      <c r="D7" s="48"/>
      <c r="E7" s="49"/>
      <c r="F7" s="49"/>
      <c r="G7" s="49"/>
      <c r="H7" s="49"/>
      <c r="I7" s="50"/>
    </row>
    <row r="8" spans="1:9" s="18" customFormat="1" x14ac:dyDescent="0.25">
      <c r="A8" s="51"/>
      <c r="B8" s="52"/>
      <c r="C8" s="52"/>
      <c r="D8" s="52"/>
      <c r="E8" s="53"/>
      <c r="F8" s="53"/>
      <c r="G8" s="53"/>
      <c r="H8" s="54" t="s">
        <v>11</v>
      </c>
      <c r="I8" s="55" t="s">
        <v>12</v>
      </c>
    </row>
    <row r="9" spans="1:9" s="18" customFormat="1" x14ac:dyDescent="0.25">
      <c r="A9" s="56"/>
      <c r="B9" s="57"/>
      <c r="C9" s="57"/>
      <c r="D9" s="57"/>
      <c r="E9" s="58"/>
      <c r="F9" s="59"/>
      <c r="G9" s="58"/>
      <c r="H9" s="58"/>
      <c r="I9" s="60" t="s">
        <v>14</v>
      </c>
    </row>
    <row r="10" spans="1:9" s="18" customFormat="1" ht="16.5" thickBot="1" x14ac:dyDescent="0.3">
      <c r="A10" s="61"/>
      <c r="B10" s="62"/>
      <c r="C10" s="62"/>
      <c r="D10" s="62"/>
      <c r="E10" s="63"/>
      <c r="F10" s="63"/>
      <c r="G10" s="63"/>
      <c r="H10" s="63"/>
      <c r="I10" s="65" t="s">
        <v>13</v>
      </c>
    </row>
    <row r="11" spans="1:9" s="18" customFormat="1" ht="18" customHeight="1" thickBot="1" x14ac:dyDescent="0.3">
      <c r="A11" s="13" t="s">
        <v>2</v>
      </c>
      <c r="B11" s="14" t="s">
        <v>32</v>
      </c>
      <c r="C11" s="105" t="s">
        <v>34</v>
      </c>
      <c r="D11" s="15" t="s">
        <v>18</v>
      </c>
      <c r="E11" s="16"/>
      <c r="F11" s="17" t="s">
        <v>17</v>
      </c>
      <c r="G11" s="17"/>
      <c r="H11" s="17"/>
      <c r="I11" s="17"/>
    </row>
    <row r="12" spans="1:9" s="25" customFormat="1" ht="18" customHeight="1" x14ac:dyDescent="0.25">
      <c r="A12" s="127">
        <f t="shared" ref="A12" si="0">A24+7</f>
        <v>42337</v>
      </c>
      <c r="B12" s="19" t="str">
        <f>IF(ISERROR(INDEX(Índice!$A$3:$A$500,MATCH(C12,Índice!$B$3:$B$500,0))),"",INDEX(Índice!$A$3:$A$500,MATCH(C12,Índice!$B$3:$B$500,0)))</f>
        <v/>
      </c>
      <c r="C12" s="103"/>
      <c r="D12" s="20"/>
      <c r="E12" s="21" t="s">
        <v>57</v>
      </c>
      <c r="F12" s="22" t="str">
        <f t="shared" ref="F12:F47" si="1">IF(ISNUMBER(B12),IF(ISERROR(MATCH(B12,B13:B8968,0)),"Nunca",(INDEX(A:A,ROW()-MOD(ROW(),12))-G12)/7&amp;" semanas"),"")</f>
        <v/>
      </c>
      <c r="G12" s="23" t="str">
        <f t="shared" ref="G12:G47" ca="1" si="2">IF(ISNUMBER(B12),IF(ISERROR(MATCH(B12,B13:B8968,0)),"",INDIRECT(ADDRESS(ROW()+MATCH(B12,B13:B8968,0)-MOD(ROW()+MATCH(B12,B13:B8968,0),12),1))),"")</f>
        <v/>
      </c>
      <c r="H12" s="24"/>
    </row>
    <row r="13" spans="1:9" s="25" customFormat="1" ht="18" customHeight="1" x14ac:dyDescent="0.25">
      <c r="A13" s="128"/>
      <c r="B13" s="26" t="str">
        <f>IF(ISERROR(INDEX(Índice!$A$3:$A$500,MATCH(C13,Índice!$B$3:$B$500,0))),"",INDEX(Índice!$A$3:$A$500,MATCH(C13,Índice!$B$3:$B$500,0)))</f>
        <v/>
      </c>
      <c r="C13" s="103"/>
      <c r="D13" s="27"/>
      <c r="E13" s="21" t="s">
        <v>57</v>
      </c>
      <c r="F13" s="22" t="str">
        <f t="shared" si="1"/>
        <v/>
      </c>
      <c r="G13" s="23" t="str">
        <f t="shared" ca="1" si="2"/>
        <v/>
      </c>
      <c r="H13" s="24"/>
    </row>
    <row r="14" spans="1:9" s="25" customFormat="1" ht="18" customHeight="1" x14ac:dyDescent="0.25">
      <c r="A14" s="128"/>
      <c r="B14" s="26" t="str">
        <f>IF(ISERROR(INDEX(Índice!$A$3:$A$500,MATCH(C14,Índice!$B$3:$B$500,0))),"",INDEX(Índice!$A$3:$A$500,MATCH(C14,Índice!$B$3:$B$500,0)))</f>
        <v/>
      </c>
      <c r="C14" s="103"/>
      <c r="D14" s="27"/>
      <c r="E14" s="21" t="s">
        <v>57</v>
      </c>
      <c r="F14" s="22" t="str">
        <f t="shared" si="1"/>
        <v/>
      </c>
      <c r="G14" s="23" t="str">
        <f t="shared" ca="1" si="2"/>
        <v/>
      </c>
      <c r="H14" s="24"/>
    </row>
    <row r="15" spans="1:9" s="25" customFormat="1" ht="18" customHeight="1" x14ac:dyDescent="0.25">
      <c r="A15" s="128"/>
      <c r="B15" s="26" t="str">
        <f>IF(ISERROR(INDEX(Índice!$A$3:$A$500,MATCH(C15,Índice!$B$3:$B$500,0))),"",INDEX(Índice!$A$3:$A$500,MATCH(C15,Índice!$B$3:$B$500,0)))</f>
        <v/>
      </c>
      <c r="C15" s="103"/>
      <c r="D15" s="27"/>
      <c r="E15" s="21" t="s">
        <v>57</v>
      </c>
      <c r="F15" s="22" t="str">
        <f t="shared" si="1"/>
        <v/>
      </c>
      <c r="G15" s="23" t="str">
        <f t="shared" ca="1" si="2"/>
        <v/>
      </c>
      <c r="H15" s="24"/>
    </row>
    <row r="16" spans="1:9" s="25" customFormat="1" ht="18" customHeight="1" x14ac:dyDescent="0.25">
      <c r="A16" s="128"/>
      <c r="B16" s="26" t="str">
        <f>IF(ISERROR(INDEX(Índice!$A$3:$A$500,MATCH(C16,Índice!$B$3:$B$500,0))),"",INDEX(Índice!$A$3:$A$500,MATCH(C16,Índice!$B$3:$B$500,0)))</f>
        <v/>
      </c>
      <c r="C16" s="103"/>
      <c r="D16" s="27"/>
      <c r="E16" s="21" t="s">
        <v>57</v>
      </c>
      <c r="F16" s="22" t="str">
        <f t="shared" si="1"/>
        <v/>
      </c>
      <c r="G16" s="23" t="str">
        <f t="shared" ca="1" si="2"/>
        <v/>
      </c>
      <c r="H16" s="24"/>
    </row>
    <row r="17" spans="1:8" s="25" customFormat="1" ht="18" customHeight="1" x14ac:dyDescent="0.25">
      <c r="A17" s="128"/>
      <c r="B17" s="26" t="str">
        <f>IF(ISERROR(INDEX(Índice!$A$3:$A$500,MATCH(C17,Índice!$B$3:$B$500,0))),"",INDEX(Índice!$A$3:$A$500,MATCH(C17,Índice!$B$3:$B$500,0)))</f>
        <v/>
      </c>
      <c r="C17" s="103"/>
      <c r="D17" s="27"/>
      <c r="E17" s="21" t="s">
        <v>57</v>
      </c>
      <c r="F17" s="22" t="str">
        <f t="shared" si="1"/>
        <v/>
      </c>
      <c r="G17" s="23" t="str">
        <f t="shared" ca="1" si="2"/>
        <v/>
      </c>
      <c r="H17" s="24"/>
    </row>
    <row r="18" spans="1:8" s="25" customFormat="1" ht="18" customHeight="1" x14ac:dyDescent="0.25">
      <c r="A18" s="128"/>
      <c r="B18" s="26" t="str">
        <f>IF(ISERROR(INDEX(Índice!$A$3:$A$500,MATCH(C18,Índice!$B$3:$B$500,0))),"",INDEX(Índice!$A$3:$A$500,MATCH(C18,Índice!$B$3:$B$500,0)))</f>
        <v/>
      </c>
      <c r="C18" s="103"/>
      <c r="D18" s="29"/>
      <c r="E18" s="21" t="s">
        <v>57</v>
      </c>
      <c r="F18" s="22" t="str">
        <f t="shared" si="1"/>
        <v/>
      </c>
      <c r="G18" s="23" t="str">
        <f t="shared" ca="1" si="2"/>
        <v/>
      </c>
      <c r="H18" s="24"/>
    </row>
    <row r="19" spans="1:8" s="25" customFormat="1" ht="18" customHeight="1" x14ac:dyDescent="0.25">
      <c r="A19" s="128"/>
      <c r="B19" s="26" t="str">
        <f>IF(ISERROR(INDEX(Índice!$A$3:$A$500,MATCH(C19,Índice!$B$3:$B$500,0))),"",INDEX(Índice!$A$3:$A$500,MATCH(C19,Índice!$B$3:$B$500,0)))</f>
        <v/>
      </c>
      <c r="C19" s="113"/>
      <c r="D19" s="29"/>
      <c r="E19" s="21" t="s">
        <v>57</v>
      </c>
      <c r="F19" s="22" t="str">
        <f t="shared" si="1"/>
        <v/>
      </c>
      <c r="G19" s="23" t="str">
        <f t="shared" ca="1" si="2"/>
        <v/>
      </c>
      <c r="H19" s="24"/>
    </row>
    <row r="20" spans="1:8" s="25" customFormat="1" ht="18" customHeight="1" x14ac:dyDescent="0.25">
      <c r="A20" s="128"/>
      <c r="B20" s="26" t="str">
        <f>IF(ISERROR(INDEX(Índice!$A$3:$A$500,MATCH(C20,Índice!$B$3:$B$500,0))),"",INDEX(Índice!$A$3:$A$500,MATCH(C20,Índice!$B$3:$B$500,0)))</f>
        <v/>
      </c>
      <c r="C20" s="103"/>
      <c r="D20" s="29"/>
      <c r="E20" s="21" t="s">
        <v>57</v>
      </c>
      <c r="F20" s="22" t="str">
        <f t="shared" si="1"/>
        <v/>
      </c>
      <c r="G20" s="23" t="str">
        <f t="shared" ca="1" si="2"/>
        <v/>
      </c>
      <c r="H20" s="24"/>
    </row>
    <row r="21" spans="1:8" s="25" customFormat="1" ht="18" customHeight="1" x14ac:dyDescent="0.25">
      <c r="A21" s="128"/>
      <c r="B21" s="26" t="str">
        <f>IF(ISERROR(INDEX(Índice!$A$3:$A$500,MATCH(C21,Índice!$B$3:$B$500,0))),"",INDEX(Índice!$A$3:$A$500,MATCH(C21,Índice!$B$3:$B$500,0)))</f>
        <v/>
      </c>
      <c r="C21" s="104"/>
      <c r="D21" s="29"/>
      <c r="E21" s="21" t="s">
        <v>57</v>
      </c>
      <c r="F21" s="22" t="str">
        <f t="shared" si="1"/>
        <v/>
      </c>
      <c r="G21" s="23" t="str">
        <f t="shared" ca="1" si="2"/>
        <v/>
      </c>
      <c r="H21" s="24"/>
    </row>
    <row r="22" spans="1:8" s="25" customFormat="1" ht="18" customHeight="1" x14ac:dyDescent="0.25">
      <c r="A22" s="128"/>
      <c r="B22" s="26" t="str">
        <f>IF(ISERROR(INDEX(Índice!$A$3:$A$500,MATCH(C22,Índice!$B$3:$B$500,0))),"",INDEX(Índice!$A$3:$A$500,MATCH(C22,Índice!$B$3:$B$500,0)))</f>
        <v/>
      </c>
      <c r="C22" s="28"/>
      <c r="D22" s="29"/>
      <c r="E22" s="21" t="s">
        <v>57</v>
      </c>
      <c r="F22" s="22" t="str">
        <f t="shared" si="1"/>
        <v/>
      </c>
      <c r="G22" s="23" t="str">
        <f t="shared" ca="1" si="2"/>
        <v/>
      </c>
      <c r="H22" s="24"/>
    </row>
    <row r="23" spans="1:8" s="25" customFormat="1" ht="18" customHeight="1" thickBot="1" x14ac:dyDescent="0.3">
      <c r="A23" s="129"/>
      <c r="B23" s="30" t="str">
        <f>IF(ISERROR(INDEX(Índice!$A$3:$A$500,MATCH(C23,Índice!$B$3:$B$500,0))),"",INDEX(Índice!$A$3:$A$500,MATCH(C23,Índice!$B$3:$B$500,0)))</f>
        <v/>
      </c>
      <c r="C23" s="31"/>
      <c r="D23" s="32"/>
      <c r="E23" s="21" t="s">
        <v>57</v>
      </c>
      <c r="F23" s="22" t="str">
        <f t="shared" si="1"/>
        <v/>
      </c>
      <c r="G23" s="23" t="str">
        <f t="shared" ca="1" si="2"/>
        <v/>
      </c>
      <c r="H23" s="24"/>
    </row>
    <row r="24" spans="1:8" s="25" customFormat="1" ht="18" customHeight="1" x14ac:dyDescent="0.25">
      <c r="A24" s="127">
        <f t="shared" ref="A24" si="3">A36+7</f>
        <v>42330</v>
      </c>
      <c r="B24" s="19" t="str">
        <f>IF(ISERROR(INDEX(Índice!$A$3:$A$500,MATCH(C24,Índice!$B$3:$B$500,0))),"",INDEX(Índice!$A$3:$A$500,MATCH(C24,Índice!$B$3:$B$500,0)))</f>
        <v/>
      </c>
      <c r="C24" s="103"/>
      <c r="D24" s="20"/>
      <c r="E24" s="21" t="s">
        <v>57</v>
      </c>
      <c r="F24" s="22" t="str">
        <f t="shared" si="1"/>
        <v/>
      </c>
      <c r="G24" s="23" t="str">
        <f t="shared" ca="1" si="2"/>
        <v/>
      </c>
      <c r="H24" s="24"/>
    </row>
    <row r="25" spans="1:8" s="25" customFormat="1" ht="18" customHeight="1" x14ac:dyDescent="0.25">
      <c r="A25" s="128"/>
      <c r="B25" s="26" t="str">
        <f>IF(ISERROR(INDEX(Índice!$A$3:$A$500,MATCH(C25,Índice!$B$3:$B$500,0))),"",INDEX(Índice!$A$3:$A$500,MATCH(C25,Índice!$B$3:$B$500,0)))</f>
        <v/>
      </c>
      <c r="C25" s="103"/>
      <c r="D25" s="27"/>
      <c r="E25" s="21" t="s">
        <v>57</v>
      </c>
      <c r="F25" s="22" t="str">
        <f t="shared" si="1"/>
        <v/>
      </c>
      <c r="G25" s="23" t="str">
        <f t="shared" ca="1" si="2"/>
        <v/>
      </c>
      <c r="H25" s="24"/>
    </row>
    <row r="26" spans="1:8" s="25" customFormat="1" ht="18" customHeight="1" x14ac:dyDescent="0.25">
      <c r="A26" s="128"/>
      <c r="B26" s="26" t="str">
        <f>IF(ISERROR(INDEX(Índice!$A$3:$A$500,MATCH(C26,Índice!$B$3:$B$500,0))),"",INDEX(Índice!$A$3:$A$500,MATCH(C26,Índice!$B$3:$B$500,0)))</f>
        <v/>
      </c>
      <c r="C26" s="103"/>
      <c r="D26" s="27"/>
      <c r="E26" s="21" t="s">
        <v>57</v>
      </c>
      <c r="F26" s="22" t="str">
        <f t="shared" si="1"/>
        <v/>
      </c>
      <c r="G26" s="23" t="str">
        <f t="shared" ca="1" si="2"/>
        <v/>
      </c>
      <c r="H26" s="24"/>
    </row>
    <row r="27" spans="1:8" s="25" customFormat="1" ht="18" customHeight="1" x14ac:dyDescent="0.25">
      <c r="A27" s="128"/>
      <c r="B27" s="26" t="str">
        <f>IF(ISERROR(INDEX(Índice!$A$3:$A$500,MATCH(C27,Índice!$B$3:$B$500,0))),"",INDEX(Índice!$A$3:$A$500,MATCH(C27,Índice!$B$3:$B$500,0)))</f>
        <v/>
      </c>
      <c r="C27" s="103"/>
      <c r="D27" s="27"/>
      <c r="E27" s="21" t="s">
        <v>57</v>
      </c>
      <c r="F27" s="22" t="str">
        <f t="shared" si="1"/>
        <v/>
      </c>
      <c r="G27" s="23" t="str">
        <f t="shared" ca="1" si="2"/>
        <v/>
      </c>
      <c r="H27" s="24"/>
    </row>
    <row r="28" spans="1:8" s="25" customFormat="1" ht="18" customHeight="1" x14ac:dyDescent="0.25">
      <c r="A28" s="128"/>
      <c r="B28" s="26" t="str">
        <f>IF(ISERROR(INDEX(Índice!$A$3:$A$500,MATCH(C28,Índice!$B$3:$B$500,0))),"",INDEX(Índice!$A$3:$A$500,MATCH(C28,Índice!$B$3:$B$500,0)))</f>
        <v/>
      </c>
      <c r="C28" s="103"/>
      <c r="D28" s="27"/>
      <c r="E28" s="21" t="s">
        <v>57</v>
      </c>
      <c r="F28" s="22" t="str">
        <f t="shared" si="1"/>
        <v/>
      </c>
      <c r="G28" s="23" t="str">
        <f t="shared" ca="1" si="2"/>
        <v/>
      </c>
      <c r="H28" s="24"/>
    </row>
    <row r="29" spans="1:8" s="25" customFormat="1" ht="18" customHeight="1" x14ac:dyDescent="0.25">
      <c r="A29" s="128"/>
      <c r="B29" s="26" t="str">
        <f>IF(ISERROR(INDEX(Índice!$A$3:$A$500,MATCH(C29,Índice!$B$3:$B$500,0))),"",INDEX(Índice!$A$3:$A$500,MATCH(C29,Índice!$B$3:$B$500,0)))</f>
        <v/>
      </c>
      <c r="C29" s="103"/>
      <c r="D29" s="27"/>
      <c r="E29" s="21" t="s">
        <v>57</v>
      </c>
      <c r="F29" s="22" t="str">
        <f t="shared" si="1"/>
        <v/>
      </c>
      <c r="G29" s="23" t="str">
        <f t="shared" ca="1" si="2"/>
        <v/>
      </c>
      <c r="H29" s="24"/>
    </row>
    <row r="30" spans="1:8" s="25" customFormat="1" ht="18" customHeight="1" x14ac:dyDescent="0.25">
      <c r="A30" s="128"/>
      <c r="B30" s="26" t="str">
        <f>IF(ISERROR(INDEX(Índice!$A$3:$A$500,MATCH(C30,Índice!$B$3:$B$500,0))),"",INDEX(Índice!$A$3:$A$500,MATCH(C30,Índice!$B$3:$B$500,0)))</f>
        <v/>
      </c>
      <c r="C30" s="103"/>
      <c r="D30" s="29"/>
      <c r="E30" s="21" t="s">
        <v>57</v>
      </c>
      <c r="F30" s="22" t="str">
        <f t="shared" si="1"/>
        <v/>
      </c>
      <c r="G30" s="23" t="str">
        <f t="shared" ca="1" si="2"/>
        <v/>
      </c>
      <c r="H30" s="24"/>
    </row>
    <row r="31" spans="1:8" s="25" customFormat="1" ht="18" customHeight="1" x14ac:dyDescent="0.25">
      <c r="A31" s="128"/>
      <c r="B31" s="26" t="str">
        <f>IF(ISERROR(INDEX(Índice!$A$3:$A$500,MATCH(C31,Índice!$B$3:$B$500,0))),"",INDEX(Índice!$A$3:$A$500,MATCH(C31,Índice!$B$3:$B$500,0)))</f>
        <v/>
      </c>
      <c r="C31" s="113"/>
      <c r="D31" s="29"/>
      <c r="E31" s="21" t="s">
        <v>57</v>
      </c>
      <c r="F31" s="22" t="str">
        <f t="shared" si="1"/>
        <v/>
      </c>
      <c r="G31" s="23" t="str">
        <f t="shared" ca="1" si="2"/>
        <v/>
      </c>
      <c r="H31" s="24"/>
    </row>
    <row r="32" spans="1:8" s="25" customFormat="1" ht="18" customHeight="1" x14ac:dyDescent="0.25">
      <c r="A32" s="128"/>
      <c r="B32" s="26" t="str">
        <f>IF(ISERROR(INDEX(Índice!$A$3:$A$500,MATCH(C32,Índice!$B$3:$B$500,0))),"",INDEX(Índice!$A$3:$A$500,MATCH(C32,Índice!$B$3:$B$500,0)))</f>
        <v/>
      </c>
      <c r="C32" s="103"/>
      <c r="D32" s="29"/>
      <c r="E32" s="21" t="s">
        <v>57</v>
      </c>
      <c r="F32" s="22" t="str">
        <f t="shared" si="1"/>
        <v/>
      </c>
      <c r="G32" s="23" t="str">
        <f t="shared" ca="1" si="2"/>
        <v/>
      </c>
      <c r="H32" s="24"/>
    </row>
    <row r="33" spans="1:8" s="25" customFormat="1" ht="18" customHeight="1" x14ac:dyDescent="0.25">
      <c r="A33" s="128"/>
      <c r="B33" s="26" t="str">
        <f>IF(ISERROR(INDEX(Índice!$A$3:$A$500,MATCH(C33,Índice!$B$3:$B$500,0))),"",INDEX(Índice!$A$3:$A$500,MATCH(C33,Índice!$B$3:$B$500,0)))</f>
        <v/>
      </c>
      <c r="C33" s="104"/>
      <c r="D33" s="29"/>
      <c r="E33" s="21" t="s">
        <v>57</v>
      </c>
      <c r="F33" s="22" t="str">
        <f t="shared" si="1"/>
        <v/>
      </c>
      <c r="G33" s="23" t="str">
        <f t="shared" ca="1" si="2"/>
        <v/>
      </c>
      <c r="H33" s="24"/>
    </row>
    <row r="34" spans="1:8" s="25" customFormat="1" ht="18" customHeight="1" x14ac:dyDescent="0.25">
      <c r="A34" s="128"/>
      <c r="B34" s="26" t="str">
        <f>IF(ISERROR(INDEX(Índice!$A$3:$A$500,MATCH(C34,Índice!$B$3:$B$500,0))),"",INDEX(Índice!$A$3:$A$500,MATCH(C34,Índice!$B$3:$B$500,0)))</f>
        <v/>
      </c>
      <c r="C34" s="28"/>
      <c r="D34" s="29"/>
      <c r="E34" s="21" t="s">
        <v>57</v>
      </c>
      <c r="F34" s="22" t="str">
        <f t="shared" si="1"/>
        <v/>
      </c>
      <c r="G34" s="23" t="str">
        <f t="shared" ca="1" si="2"/>
        <v/>
      </c>
      <c r="H34" s="24"/>
    </row>
    <row r="35" spans="1:8" s="25" customFormat="1" ht="18" customHeight="1" thickBot="1" x14ac:dyDescent="0.3">
      <c r="A35" s="129"/>
      <c r="B35" s="30" t="str">
        <f>IF(ISERROR(INDEX(Índice!$A$3:$A$500,MATCH(C35,Índice!$B$3:$B$500,0))),"",INDEX(Índice!$A$3:$A$500,MATCH(C35,Índice!$B$3:$B$500,0)))</f>
        <v/>
      </c>
      <c r="C35" s="31"/>
      <c r="D35" s="32"/>
      <c r="E35" s="21" t="s">
        <v>57</v>
      </c>
      <c r="F35" s="22" t="str">
        <f t="shared" si="1"/>
        <v/>
      </c>
      <c r="G35" s="23" t="str">
        <f t="shared" ca="1" si="2"/>
        <v/>
      </c>
      <c r="H35" s="24"/>
    </row>
    <row r="36" spans="1:8" s="25" customFormat="1" ht="18" customHeight="1" x14ac:dyDescent="0.25">
      <c r="A36" s="127">
        <v>42323</v>
      </c>
      <c r="B36" s="19" t="str">
        <f>IF(ISERROR(INDEX(Índice!$A$3:$A$500,MATCH(C36,Índice!$B$3:$B$500,0))),"",INDEX(Índice!$A$3:$A$500,MATCH(C36,Índice!$B$3:$B$500,0)))</f>
        <v/>
      </c>
      <c r="C36" s="103"/>
      <c r="D36" s="20"/>
      <c r="E36" s="21" t="s">
        <v>57</v>
      </c>
      <c r="F36" s="22" t="str">
        <f t="shared" si="1"/>
        <v/>
      </c>
      <c r="G36" s="23" t="str">
        <f t="shared" ca="1" si="2"/>
        <v/>
      </c>
      <c r="H36" s="24"/>
    </row>
    <row r="37" spans="1:8" s="25" customFormat="1" ht="18" customHeight="1" x14ac:dyDescent="0.25">
      <c r="A37" s="128"/>
      <c r="B37" s="26" t="str">
        <f>IF(ISERROR(INDEX(Índice!$A$3:$A$500,MATCH(C37,Índice!$B$3:$B$500,0))),"",INDEX(Índice!$A$3:$A$500,MATCH(C37,Índice!$B$3:$B$500,0)))</f>
        <v/>
      </c>
      <c r="C37" s="104"/>
      <c r="D37" s="27"/>
      <c r="E37" s="21" t="s">
        <v>57</v>
      </c>
      <c r="F37" s="22" t="str">
        <f t="shared" si="1"/>
        <v/>
      </c>
      <c r="G37" s="23" t="str">
        <f t="shared" ca="1" si="2"/>
        <v/>
      </c>
      <c r="H37" s="24"/>
    </row>
    <row r="38" spans="1:8" s="25" customFormat="1" ht="18" customHeight="1" x14ac:dyDescent="0.25">
      <c r="A38" s="128"/>
      <c r="B38" s="26" t="str">
        <f>IF(ISERROR(INDEX(Índice!$A$3:$A$500,MATCH(C38,Índice!$B$3:$B$500,0))),"",INDEX(Índice!$A$3:$A$500,MATCH(C38,Índice!$B$3:$B$500,0)))</f>
        <v/>
      </c>
      <c r="C38" s="103"/>
      <c r="D38" s="27"/>
      <c r="E38" s="21" t="s">
        <v>57</v>
      </c>
      <c r="F38" s="22" t="str">
        <f t="shared" si="1"/>
        <v/>
      </c>
      <c r="G38" s="23" t="str">
        <f t="shared" ca="1" si="2"/>
        <v/>
      </c>
      <c r="H38" s="24"/>
    </row>
    <row r="39" spans="1:8" s="25" customFormat="1" ht="18" customHeight="1" x14ac:dyDescent="0.25">
      <c r="A39" s="128"/>
      <c r="B39" s="26" t="str">
        <f>IF(ISERROR(INDEX(Índice!$A$3:$A$500,MATCH(C39,Índice!$B$3:$B$500,0))),"",INDEX(Índice!$A$3:$A$500,MATCH(C39,Índice!$B$3:$B$500,0)))</f>
        <v/>
      </c>
      <c r="C39" s="103"/>
      <c r="D39" s="27"/>
      <c r="E39" s="21" t="s">
        <v>57</v>
      </c>
      <c r="F39" s="22" t="str">
        <f t="shared" si="1"/>
        <v/>
      </c>
      <c r="G39" s="23" t="str">
        <f t="shared" ca="1" si="2"/>
        <v/>
      </c>
      <c r="H39" s="24"/>
    </row>
    <row r="40" spans="1:8" s="25" customFormat="1" ht="18" customHeight="1" x14ac:dyDescent="0.25">
      <c r="A40" s="128"/>
      <c r="B40" s="26" t="str">
        <f>IF(ISERROR(INDEX(Índice!$A$3:$A$500,MATCH(C40,Índice!$B$3:$B$500,0))),"",INDEX(Índice!$A$3:$A$500,MATCH(C40,Índice!$B$3:$B$500,0)))</f>
        <v/>
      </c>
      <c r="C40" s="103"/>
      <c r="D40" s="27"/>
      <c r="E40" s="21" t="s">
        <v>57</v>
      </c>
      <c r="F40" s="22" t="str">
        <f t="shared" si="1"/>
        <v/>
      </c>
      <c r="G40" s="23" t="str">
        <f t="shared" ca="1" si="2"/>
        <v/>
      </c>
      <c r="H40" s="24"/>
    </row>
    <row r="41" spans="1:8" s="25" customFormat="1" ht="18" customHeight="1" x14ac:dyDescent="0.25">
      <c r="A41" s="128"/>
      <c r="B41" s="26" t="str">
        <f>IF(ISERROR(INDEX(Índice!$A$3:$A$500,MATCH(C41,Índice!$B$3:$B$500,0))),"",INDEX(Índice!$A$3:$A$500,MATCH(C41,Índice!$B$3:$B$500,0)))</f>
        <v/>
      </c>
      <c r="C41" s="113"/>
      <c r="D41" s="27"/>
      <c r="E41" s="21" t="s">
        <v>57</v>
      </c>
      <c r="F41" s="22" t="str">
        <f t="shared" si="1"/>
        <v/>
      </c>
      <c r="G41" s="23" t="str">
        <f t="shared" ca="1" si="2"/>
        <v/>
      </c>
      <c r="H41" s="24"/>
    </row>
    <row r="42" spans="1:8" s="25" customFormat="1" ht="18" customHeight="1" x14ac:dyDescent="0.25">
      <c r="A42" s="128"/>
      <c r="B42" s="26" t="str">
        <f>IF(ISERROR(INDEX(Índice!$A$3:$A$500,MATCH(C42,Índice!$B$3:$B$500,0))),"",INDEX(Índice!$A$3:$A$500,MATCH(C42,Índice!$B$3:$B$500,0)))</f>
        <v/>
      </c>
      <c r="C42" s="103"/>
      <c r="D42" s="29"/>
      <c r="E42" s="21" t="s">
        <v>57</v>
      </c>
      <c r="F42" s="22" t="str">
        <f t="shared" si="1"/>
        <v/>
      </c>
      <c r="G42" s="23" t="str">
        <f t="shared" ca="1" si="2"/>
        <v/>
      </c>
      <c r="H42" s="24"/>
    </row>
    <row r="43" spans="1:8" s="25" customFormat="1" ht="18" customHeight="1" x14ac:dyDescent="0.25">
      <c r="A43" s="128"/>
      <c r="B43" s="26" t="str">
        <f>IF(ISERROR(INDEX(Índice!$A$3:$A$500,MATCH(C43,Índice!$B$3:$B$500,0))),"",INDEX(Índice!$A$3:$A$500,MATCH(C43,Índice!$B$3:$B$500,0)))</f>
        <v/>
      </c>
      <c r="C43" s="113"/>
      <c r="D43" s="29"/>
      <c r="E43" s="21" t="s">
        <v>57</v>
      </c>
      <c r="F43" s="22" t="str">
        <f t="shared" si="1"/>
        <v/>
      </c>
      <c r="G43" s="23" t="str">
        <f t="shared" ca="1" si="2"/>
        <v/>
      </c>
      <c r="H43" s="24"/>
    </row>
    <row r="44" spans="1:8" s="25" customFormat="1" ht="18" customHeight="1" x14ac:dyDescent="0.25">
      <c r="A44" s="128"/>
      <c r="B44" s="26" t="str">
        <f>IF(ISERROR(INDEX(Índice!$A$3:$A$500,MATCH(C44,Índice!$B$3:$B$500,0))),"",INDEX(Índice!$A$3:$A$500,MATCH(C44,Índice!$B$3:$B$500,0)))</f>
        <v/>
      </c>
      <c r="C44" s="103"/>
      <c r="D44" s="29"/>
      <c r="E44" s="21" t="s">
        <v>57</v>
      </c>
      <c r="F44" s="22" t="str">
        <f t="shared" si="1"/>
        <v/>
      </c>
      <c r="G44" s="23" t="str">
        <f t="shared" ca="1" si="2"/>
        <v/>
      </c>
      <c r="H44" s="24"/>
    </row>
    <row r="45" spans="1:8" s="25" customFormat="1" ht="18" customHeight="1" x14ac:dyDescent="0.25">
      <c r="A45" s="128"/>
      <c r="B45" s="26" t="str">
        <f>IF(ISERROR(INDEX(Índice!$A$3:$A$500,MATCH(C45,Índice!$B$3:$B$500,0))),"",INDEX(Índice!$A$3:$A$500,MATCH(C45,Índice!$B$3:$B$500,0)))</f>
        <v/>
      </c>
      <c r="C45" s="104"/>
      <c r="D45" s="29"/>
      <c r="E45" s="21" t="s">
        <v>57</v>
      </c>
      <c r="F45" s="22" t="str">
        <f t="shared" si="1"/>
        <v/>
      </c>
      <c r="G45" s="23" t="str">
        <f t="shared" ca="1" si="2"/>
        <v/>
      </c>
      <c r="H45" s="24"/>
    </row>
    <row r="46" spans="1:8" s="25" customFormat="1" ht="18" customHeight="1" x14ac:dyDescent="0.25">
      <c r="A46" s="128"/>
      <c r="B46" s="26" t="str">
        <f>IF(ISERROR(INDEX(Índice!$A$3:$A$500,MATCH(C46,Índice!$B$3:$B$500,0))),"",INDEX(Índice!$A$3:$A$500,MATCH(C46,Índice!$B$3:$B$500,0)))</f>
        <v/>
      </c>
      <c r="C46" s="28"/>
      <c r="D46" s="29"/>
      <c r="E46" s="21" t="s">
        <v>57</v>
      </c>
      <c r="F46" s="22" t="str">
        <f t="shared" si="1"/>
        <v/>
      </c>
      <c r="G46" s="23" t="str">
        <f t="shared" ca="1" si="2"/>
        <v/>
      </c>
      <c r="H46" s="24"/>
    </row>
    <row r="47" spans="1:8" s="25" customFormat="1" ht="18" customHeight="1" thickBot="1" x14ac:dyDescent="0.3">
      <c r="A47" s="129"/>
      <c r="B47" s="30" t="str">
        <f>IF(ISERROR(INDEX(Índice!$A$3:$A$500,MATCH(C47,Índice!$B$3:$B$500,0))),"",INDEX(Índice!$A$3:$A$500,MATCH(C47,Índice!$B$3:$B$500,0)))</f>
        <v/>
      </c>
      <c r="C47" s="31"/>
      <c r="D47" s="32"/>
      <c r="E47" s="21" t="s">
        <v>57</v>
      </c>
      <c r="F47" s="22" t="str">
        <f t="shared" si="1"/>
        <v/>
      </c>
      <c r="G47" s="23" t="str">
        <f t="shared" ca="1" si="2"/>
        <v/>
      </c>
      <c r="H47" s="24"/>
    </row>
  </sheetData>
  <sheetProtection sheet="1" objects="1" scenarios="1"/>
  <customSheetViews>
    <customSheetView guid="{6BD15B94-8C4F-4BE0-8AF0-6678024D1801}">
      <selection activeCell="D3" sqref="D3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</customSheetView>
  </customSheetViews>
  <mergeCells count="5">
    <mergeCell ref="A12:A23"/>
    <mergeCell ref="A24:A35"/>
    <mergeCell ref="A36:A47"/>
    <mergeCell ref="A2:B2"/>
    <mergeCell ref="A4:B4"/>
  </mergeCells>
  <conditionalFormatting sqref="F48:G59">
    <cfRule type="expression" dxfId="28" priority="173"/>
  </conditionalFormatting>
  <conditionalFormatting sqref="F24:G47">
    <cfRule type="expression" dxfId="27" priority="7">
      <formula>((INDEX($A:$A,ROW()-MOD(ROW(),12))-$G24)/7)&lt;MinimoIntervalo</formula>
    </cfRule>
  </conditionalFormatting>
  <conditionalFormatting sqref="F12:G23">
    <cfRule type="expression" dxfId="26" priority="1">
      <formula>((INDEX($A:$A,ROW()-MOD(ROW(),12))-$G12)/7)&lt;MinimoIntervalo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riarDocPptPrograma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urarTodasAsCifras">
                <anchor moveWithCells="1">
                  <from>
                    <xdr:col>7</xdr:col>
                    <xdr:colOff>0</xdr:colOff>
                    <xdr:row>0</xdr:row>
                    <xdr:rowOff>161925</xdr:rowOff>
                  </from>
                  <to>
                    <xdr:col>8</xdr:col>
                    <xdr:colOff>390525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ocurarTodosOsSlides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rogramaInserirData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ProgramaRemoverData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523875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reencherImprimir">
                <anchor moveWithCells="1">
                  <from>
                    <xdr:col>5</xdr:col>
                    <xdr:colOff>0</xdr:colOff>
                    <xdr:row>4</xdr:row>
                    <xdr:rowOff>85725</xdr:rowOff>
                  </from>
                  <to>
                    <xdr:col>6</xdr:col>
                    <xdr:colOff>428625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Índice!$B$3:$B$500</xm:f>
          </x14:formula1>
          <xm:sqref>C12:C47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pageSetUpPr fitToPage="1"/>
  </sheetPr>
  <dimension ref="A1:J44"/>
  <sheetViews>
    <sheetView topLeftCell="B1" workbookViewId="0">
      <selection activeCell="B1" sqref="B1"/>
    </sheetView>
  </sheetViews>
  <sheetFormatPr defaultRowHeight="15" x14ac:dyDescent="0.25"/>
  <cols>
    <col min="1" max="1" width="12.140625" style="1" hidden="1" customWidth="1"/>
    <col min="2" max="2" width="4.42578125" style="1" bestFit="1" customWidth="1"/>
    <col min="3" max="3" width="27.85546875" style="1" customWidth="1"/>
    <col min="4" max="4" width="12" style="1" customWidth="1"/>
    <col min="5" max="5" width="3.42578125" style="1" customWidth="1"/>
    <col min="6" max="6" width="12.140625" style="1" hidden="1" customWidth="1"/>
    <col min="7" max="7" width="4.42578125" style="1" bestFit="1" customWidth="1"/>
    <col min="8" max="8" width="27.85546875" style="1" customWidth="1"/>
    <col min="9" max="9" width="12" style="1" customWidth="1"/>
    <col min="10" max="248" width="9.140625" style="1"/>
    <col min="249" max="258" width="9.28515625" style="1" customWidth="1"/>
    <col min="259" max="504" width="9.140625" style="1"/>
    <col min="505" max="514" width="9.28515625" style="1" customWidth="1"/>
    <col min="515" max="760" width="9.140625" style="1"/>
    <col min="761" max="770" width="9.28515625" style="1" customWidth="1"/>
    <col min="771" max="1016" width="9.140625" style="1"/>
    <col min="1017" max="1026" width="9.28515625" style="1" customWidth="1"/>
    <col min="1027" max="1272" width="9.140625" style="1"/>
    <col min="1273" max="1282" width="9.28515625" style="1" customWidth="1"/>
    <col min="1283" max="1528" width="9.140625" style="1"/>
    <col min="1529" max="1538" width="9.28515625" style="1" customWidth="1"/>
    <col min="1539" max="1784" width="9.140625" style="1"/>
    <col min="1785" max="1794" width="9.28515625" style="1" customWidth="1"/>
    <col min="1795" max="2040" width="9.140625" style="1"/>
    <col min="2041" max="2050" width="9.28515625" style="1" customWidth="1"/>
    <col min="2051" max="2296" width="9.140625" style="1"/>
    <col min="2297" max="2306" width="9.28515625" style="1" customWidth="1"/>
    <col min="2307" max="2552" width="9.140625" style="1"/>
    <col min="2553" max="2562" width="9.28515625" style="1" customWidth="1"/>
    <col min="2563" max="2808" width="9.140625" style="1"/>
    <col min="2809" max="2818" width="9.28515625" style="1" customWidth="1"/>
    <col min="2819" max="3064" width="9.140625" style="1"/>
    <col min="3065" max="3074" width="9.28515625" style="1" customWidth="1"/>
    <col min="3075" max="3320" width="9.140625" style="1"/>
    <col min="3321" max="3330" width="9.28515625" style="1" customWidth="1"/>
    <col min="3331" max="3576" width="9.140625" style="1"/>
    <col min="3577" max="3586" width="9.28515625" style="1" customWidth="1"/>
    <col min="3587" max="3832" width="9.140625" style="1"/>
    <col min="3833" max="3842" width="9.28515625" style="1" customWidth="1"/>
    <col min="3843" max="4088" width="9.140625" style="1"/>
    <col min="4089" max="4098" width="9.28515625" style="1" customWidth="1"/>
    <col min="4099" max="4344" width="9.140625" style="1"/>
    <col min="4345" max="4354" width="9.28515625" style="1" customWidth="1"/>
    <col min="4355" max="4600" width="9.140625" style="1"/>
    <col min="4601" max="4610" width="9.28515625" style="1" customWidth="1"/>
    <col min="4611" max="4856" width="9.140625" style="1"/>
    <col min="4857" max="4866" width="9.28515625" style="1" customWidth="1"/>
    <col min="4867" max="5112" width="9.140625" style="1"/>
    <col min="5113" max="5122" width="9.28515625" style="1" customWidth="1"/>
    <col min="5123" max="5368" width="9.140625" style="1"/>
    <col min="5369" max="5378" width="9.28515625" style="1" customWidth="1"/>
    <col min="5379" max="5624" width="9.140625" style="1"/>
    <col min="5625" max="5634" width="9.28515625" style="1" customWidth="1"/>
    <col min="5635" max="5880" width="9.140625" style="1"/>
    <col min="5881" max="5890" width="9.28515625" style="1" customWidth="1"/>
    <col min="5891" max="6136" width="9.140625" style="1"/>
    <col min="6137" max="6146" width="9.28515625" style="1" customWidth="1"/>
    <col min="6147" max="6392" width="9.140625" style="1"/>
    <col min="6393" max="6402" width="9.28515625" style="1" customWidth="1"/>
    <col min="6403" max="6648" width="9.140625" style="1"/>
    <col min="6649" max="6658" width="9.28515625" style="1" customWidth="1"/>
    <col min="6659" max="6904" width="9.140625" style="1"/>
    <col min="6905" max="6914" width="9.28515625" style="1" customWidth="1"/>
    <col min="6915" max="7160" width="9.140625" style="1"/>
    <col min="7161" max="7170" width="9.28515625" style="1" customWidth="1"/>
    <col min="7171" max="7416" width="9.140625" style="1"/>
    <col min="7417" max="7426" width="9.28515625" style="1" customWidth="1"/>
    <col min="7427" max="7672" width="9.140625" style="1"/>
    <col min="7673" max="7682" width="9.28515625" style="1" customWidth="1"/>
    <col min="7683" max="7928" width="9.140625" style="1"/>
    <col min="7929" max="7938" width="9.28515625" style="1" customWidth="1"/>
    <col min="7939" max="8184" width="9.140625" style="1"/>
    <col min="8185" max="8194" width="9.28515625" style="1" customWidth="1"/>
    <col min="8195" max="8440" width="9.140625" style="1"/>
    <col min="8441" max="8450" width="9.28515625" style="1" customWidth="1"/>
    <col min="8451" max="8696" width="9.140625" style="1"/>
    <col min="8697" max="8706" width="9.28515625" style="1" customWidth="1"/>
    <col min="8707" max="8952" width="9.140625" style="1"/>
    <col min="8953" max="8962" width="9.28515625" style="1" customWidth="1"/>
    <col min="8963" max="9208" width="9.140625" style="1"/>
    <col min="9209" max="9218" width="9.28515625" style="1" customWidth="1"/>
    <col min="9219" max="9464" width="9.140625" style="1"/>
    <col min="9465" max="9474" width="9.28515625" style="1" customWidth="1"/>
    <col min="9475" max="9720" width="9.140625" style="1"/>
    <col min="9721" max="9730" width="9.28515625" style="1" customWidth="1"/>
    <col min="9731" max="9976" width="9.140625" style="1"/>
    <col min="9977" max="9986" width="9.28515625" style="1" customWidth="1"/>
    <col min="9987" max="10232" width="9.140625" style="1"/>
    <col min="10233" max="10242" width="9.28515625" style="1" customWidth="1"/>
    <col min="10243" max="10488" width="9.140625" style="1"/>
    <col min="10489" max="10498" width="9.28515625" style="1" customWidth="1"/>
    <col min="10499" max="10744" width="9.140625" style="1"/>
    <col min="10745" max="10754" width="9.28515625" style="1" customWidth="1"/>
    <col min="10755" max="11000" width="9.140625" style="1"/>
    <col min="11001" max="11010" width="9.28515625" style="1" customWidth="1"/>
    <col min="11011" max="11256" width="9.140625" style="1"/>
    <col min="11257" max="11266" width="9.28515625" style="1" customWidth="1"/>
    <col min="11267" max="11512" width="9.140625" style="1"/>
    <col min="11513" max="11522" width="9.28515625" style="1" customWidth="1"/>
    <col min="11523" max="11768" width="9.140625" style="1"/>
    <col min="11769" max="11778" width="9.28515625" style="1" customWidth="1"/>
    <col min="11779" max="12024" width="9.140625" style="1"/>
    <col min="12025" max="12034" width="9.28515625" style="1" customWidth="1"/>
    <col min="12035" max="12280" width="9.140625" style="1"/>
    <col min="12281" max="12290" width="9.28515625" style="1" customWidth="1"/>
    <col min="12291" max="12536" width="9.140625" style="1"/>
    <col min="12537" max="12546" width="9.28515625" style="1" customWidth="1"/>
    <col min="12547" max="12792" width="9.140625" style="1"/>
    <col min="12793" max="12802" width="9.28515625" style="1" customWidth="1"/>
    <col min="12803" max="13048" width="9.140625" style="1"/>
    <col min="13049" max="13058" width="9.28515625" style="1" customWidth="1"/>
    <col min="13059" max="13304" width="9.140625" style="1"/>
    <col min="13305" max="13314" width="9.28515625" style="1" customWidth="1"/>
    <col min="13315" max="13560" width="9.140625" style="1"/>
    <col min="13561" max="13570" width="9.28515625" style="1" customWidth="1"/>
    <col min="13571" max="13816" width="9.140625" style="1"/>
    <col min="13817" max="13826" width="9.28515625" style="1" customWidth="1"/>
    <col min="13827" max="14072" width="9.140625" style="1"/>
    <col min="14073" max="14082" width="9.28515625" style="1" customWidth="1"/>
    <col min="14083" max="14328" width="9.140625" style="1"/>
    <col min="14329" max="14338" width="9.28515625" style="1" customWidth="1"/>
    <col min="14339" max="14584" width="9.140625" style="1"/>
    <col min="14585" max="14594" width="9.28515625" style="1" customWidth="1"/>
    <col min="14595" max="14840" width="9.140625" style="1"/>
    <col min="14841" max="14850" width="9.28515625" style="1" customWidth="1"/>
    <col min="14851" max="15096" width="9.140625" style="1"/>
    <col min="15097" max="15106" width="9.28515625" style="1" customWidth="1"/>
    <col min="15107" max="15352" width="9.140625" style="1"/>
    <col min="15353" max="15362" width="9.28515625" style="1" customWidth="1"/>
    <col min="15363" max="15608" width="9.140625" style="1"/>
    <col min="15609" max="15618" width="9.28515625" style="1" customWidth="1"/>
    <col min="15619" max="15864" width="9.140625" style="1"/>
    <col min="15865" max="15874" width="9.28515625" style="1" customWidth="1"/>
    <col min="15875" max="16120" width="9.140625" style="1"/>
    <col min="16121" max="16130" width="9.28515625" style="1" customWidth="1"/>
    <col min="16131" max="16384" width="9.140625" style="1"/>
  </cols>
  <sheetData>
    <row r="1" spans="1:10" ht="15.75" x14ac:dyDescent="0.25">
      <c r="A1" s="66"/>
      <c r="B1" s="66"/>
      <c r="C1" s="67"/>
      <c r="D1" s="67"/>
      <c r="E1" s="67"/>
      <c r="F1" s="67"/>
      <c r="G1" s="67"/>
      <c r="H1" s="67"/>
      <c r="I1" s="68"/>
      <c r="J1" s="1" t="s">
        <v>57</v>
      </c>
    </row>
    <row r="2" spans="1:10" ht="15.75" x14ac:dyDescent="0.25">
      <c r="A2" s="69"/>
      <c r="B2" s="69"/>
      <c r="C2" s="12"/>
      <c r="D2" s="12" t="s">
        <v>33</v>
      </c>
      <c r="E2" s="12"/>
      <c r="F2" s="12"/>
      <c r="G2" s="12"/>
      <c r="H2" s="12"/>
      <c r="I2" s="70"/>
      <c r="J2" s="1" t="s">
        <v>57</v>
      </c>
    </row>
    <row r="3" spans="1:10" ht="16.5" thickBot="1" x14ac:dyDescent="0.3">
      <c r="A3" s="71"/>
      <c r="B3" s="71"/>
      <c r="C3" s="72"/>
      <c r="D3" s="72"/>
      <c r="E3" s="72"/>
      <c r="F3" s="72"/>
      <c r="G3" s="72"/>
      <c r="H3" s="72"/>
      <c r="I3" s="73"/>
      <c r="J3" s="1" t="s">
        <v>57</v>
      </c>
    </row>
    <row r="4" spans="1:10" s="2" customFormat="1" ht="32.25" thickBot="1" x14ac:dyDescent="0.3">
      <c r="A4" s="98"/>
      <c r="B4" s="132" t="str">
        <f>"Programa "&amp;TEXT(A5,"dd/mm/aaaa")</f>
        <v>Programa 29/11/2015</v>
      </c>
      <c r="C4" s="132"/>
      <c r="D4" s="132"/>
      <c r="E4" s="97" t="s">
        <v>57</v>
      </c>
      <c r="G4" s="132" t="str">
        <f>"Programa "&amp;TEXT(F5,"dd/mm/aaaa")</f>
        <v>Programa 29/11/2015</v>
      </c>
      <c r="H4" s="132"/>
      <c r="I4" s="132"/>
      <c r="J4" s="1" t="s">
        <v>57</v>
      </c>
    </row>
    <row r="5" spans="1:10" ht="18" customHeight="1" x14ac:dyDescent="0.25">
      <c r="A5" s="133">
        <v>42337</v>
      </c>
      <c r="B5" s="99" t="s">
        <v>26</v>
      </c>
      <c r="C5" s="106"/>
      <c r="D5" s="3"/>
      <c r="E5" s="97" t="s">
        <v>57</v>
      </c>
      <c r="F5" s="133">
        <v>42337</v>
      </c>
      <c r="G5" s="99" t="s">
        <v>26</v>
      </c>
      <c r="H5" s="106"/>
      <c r="I5" s="3"/>
      <c r="J5" s="1" t="s">
        <v>57</v>
      </c>
    </row>
    <row r="6" spans="1:10" ht="18" customHeight="1" x14ac:dyDescent="0.25">
      <c r="A6" s="134"/>
      <c r="B6" s="100" t="s">
        <v>26</v>
      </c>
      <c r="C6" s="4"/>
      <c r="D6" s="5"/>
      <c r="E6" s="97" t="s">
        <v>57</v>
      </c>
      <c r="F6" s="134"/>
      <c r="G6" s="100" t="s">
        <v>26</v>
      </c>
      <c r="H6" s="4"/>
      <c r="I6" s="5"/>
      <c r="J6" s="1" t="s">
        <v>57</v>
      </c>
    </row>
    <row r="7" spans="1:10" ht="18" customHeight="1" x14ac:dyDescent="0.25">
      <c r="A7" s="134"/>
      <c r="B7" s="100" t="s">
        <v>26</v>
      </c>
      <c r="C7" s="4"/>
      <c r="D7" s="5"/>
      <c r="E7" s="97" t="s">
        <v>57</v>
      </c>
      <c r="F7" s="134"/>
      <c r="G7" s="100" t="s">
        <v>26</v>
      </c>
      <c r="H7" s="4"/>
      <c r="I7" s="5"/>
      <c r="J7" s="1" t="s">
        <v>57</v>
      </c>
    </row>
    <row r="8" spans="1:10" ht="18" customHeight="1" x14ac:dyDescent="0.25">
      <c r="A8" s="134"/>
      <c r="B8" s="100" t="s">
        <v>26</v>
      </c>
      <c r="C8" s="102"/>
      <c r="D8" s="5"/>
      <c r="E8" s="97" t="s">
        <v>57</v>
      </c>
      <c r="F8" s="134"/>
      <c r="G8" s="100" t="s">
        <v>26</v>
      </c>
      <c r="H8" s="102"/>
      <c r="I8" s="5"/>
      <c r="J8" s="1" t="s">
        <v>57</v>
      </c>
    </row>
    <row r="9" spans="1:10" ht="18" customHeight="1" x14ac:dyDescent="0.25">
      <c r="A9" s="134"/>
      <c r="B9" s="100" t="s">
        <v>26</v>
      </c>
      <c r="C9" s="6"/>
      <c r="D9" s="7"/>
      <c r="E9" s="97" t="s">
        <v>57</v>
      </c>
      <c r="F9" s="134"/>
      <c r="G9" s="100" t="s">
        <v>26</v>
      </c>
      <c r="H9" s="6"/>
      <c r="I9" s="7"/>
      <c r="J9" s="1" t="s">
        <v>57</v>
      </c>
    </row>
    <row r="10" spans="1:10" ht="18" customHeight="1" x14ac:dyDescent="0.25">
      <c r="A10" s="134"/>
      <c r="B10" s="100" t="s">
        <v>26</v>
      </c>
      <c r="C10" s="6"/>
      <c r="D10" s="5"/>
      <c r="E10" s="97" t="s">
        <v>57</v>
      </c>
      <c r="F10" s="134"/>
      <c r="G10" s="100" t="s">
        <v>26</v>
      </c>
      <c r="H10" s="6"/>
      <c r="I10" s="5"/>
      <c r="J10" s="1" t="s">
        <v>57</v>
      </c>
    </row>
    <row r="11" spans="1:10" ht="18" customHeight="1" x14ac:dyDescent="0.25">
      <c r="A11" s="134"/>
      <c r="B11" s="100" t="s">
        <v>26</v>
      </c>
      <c r="C11" s="102"/>
      <c r="D11" s="5"/>
      <c r="E11" s="97" t="s">
        <v>57</v>
      </c>
      <c r="F11" s="134"/>
      <c r="G11" s="100" t="s">
        <v>26</v>
      </c>
      <c r="H11" s="102"/>
      <c r="I11" s="5"/>
      <c r="J11" s="1" t="s">
        <v>57</v>
      </c>
    </row>
    <row r="12" spans="1:10" ht="18" customHeight="1" x14ac:dyDescent="0.25">
      <c r="A12" s="134"/>
      <c r="B12" s="100" t="s">
        <v>26</v>
      </c>
      <c r="C12" s="8"/>
      <c r="D12" s="7"/>
      <c r="E12" s="97" t="s">
        <v>57</v>
      </c>
      <c r="F12" s="134"/>
      <c r="G12" s="100" t="s">
        <v>26</v>
      </c>
      <c r="H12" s="8"/>
      <c r="I12" s="7"/>
      <c r="J12" s="1" t="s">
        <v>57</v>
      </c>
    </row>
    <row r="13" spans="1:10" ht="18" customHeight="1" x14ac:dyDescent="0.25">
      <c r="A13" s="134"/>
      <c r="B13" s="100" t="s">
        <v>26</v>
      </c>
      <c r="C13" s="102"/>
      <c r="D13" s="5"/>
      <c r="E13" s="97" t="s">
        <v>57</v>
      </c>
      <c r="F13" s="134"/>
      <c r="G13" s="100" t="s">
        <v>26</v>
      </c>
      <c r="H13" s="102"/>
      <c r="I13" s="5"/>
      <c r="J13" s="1" t="s">
        <v>57</v>
      </c>
    </row>
    <row r="14" spans="1:10" ht="18" customHeight="1" x14ac:dyDescent="0.25">
      <c r="A14" s="134"/>
      <c r="B14" s="100" t="s">
        <v>26</v>
      </c>
      <c r="C14" s="9"/>
      <c r="D14" s="7"/>
      <c r="E14" s="97" t="s">
        <v>57</v>
      </c>
      <c r="F14" s="134"/>
      <c r="G14" s="100" t="s">
        <v>26</v>
      </c>
      <c r="H14" s="9"/>
      <c r="I14" s="7"/>
      <c r="J14" s="1" t="s">
        <v>57</v>
      </c>
    </row>
    <row r="15" spans="1:10" ht="18" customHeight="1" x14ac:dyDescent="0.25">
      <c r="A15" s="134"/>
      <c r="B15" s="100" t="s">
        <v>26</v>
      </c>
      <c r="C15" s="9"/>
      <c r="D15" s="7"/>
      <c r="E15" s="97" t="s">
        <v>57</v>
      </c>
      <c r="F15" s="134"/>
      <c r="G15" s="100" t="s">
        <v>26</v>
      </c>
      <c r="H15" s="9"/>
      <c r="I15" s="7"/>
      <c r="J15" s="1" t="s">
        <v>57</v>
      </c>
    </row>
    <row r="16" spans="1:10" ht="18" customHeight="1" thickBot="1" x14ac:dyDescent="0.3">
      <c r="A16" s="135"/>
      <c r="B16" s="101" t="s">
        <v>26</v>
      </c>
      <c r="C16" s="10"/>
      <c r="D16" s="11"/>
      <c r="E16" s="97" t="s">
        <v>57</v>
      </c>
      <c r="F16" s="135"/>
      <c r="G16" s="101" t="s">
        <v>26</v>
      </c>
      <c r="H16" s="10"/>
      <c r="I16" s="11"/>
      <c r="J16" s="1" t="s">
        <v>57</v>
      </c>
    </row>
    <row r="17" spans="1:10" ht="18" customHeight="1" thickBot="1" x14ac:dyDescent="0.3">
      <c r="E17" s="97" t="s">
        <v>57</v>
      </c>
      <c r="J17" s="1" t="s">
        <v>57</v>
      </c>
    </row>
    <row r="18" spans="1:10" s="2" customFormat="1" ht="32.25" thickBot="1" x14ac:dyDescent="0.3">
      <c r="A18" s="98"/>
      <c r="B18" s="132" t="str">
        <f>"Programa "&amp;TEXT(A19,"dd/mm/aaaa")</f>
        <v>Programa 29/11/2015</v>
      </c>
      <c r="C18" s="132"/>
      <c r="D18" s="132"/>
      <c r="E18" s="97" t="s">
        <v>57</v>
      </c>
      <c r="G18" s="132" t="str">
        <f>"Programa "&amp;TEXT(F19,"dd/mm/aaaa")</f>
        <v>Programa 29/11/2015</v>
      </c>
      <c r="H18" s="132"/>
      <c r="I18" s="132"/>
      <c r="J18" s="1" t="s">
        <v>57</v>
      </c>
    </row>
    <row r="19" spans="1:10" ht="18" customHeight="1" x14ac:dyDescent="0.25">
      <c r="A19" s="133">
        <v>42337</v>
      </c>
      <c r="B19" s="99" t="s">
        <v>26</v>
      </c>
      <c r="C19" s="106"/>
      <c r="D19" s="3"/>
      <c r="E19" s="97" t="s">
        <v>57</v>
      </c>
      <c r="F19" s="133">
        <v>42337</v>
      </c>
      <c r="G19" s="99" t="s">
        <v>26</v>
      </c>
      <c r="H19" s="106"/>
      <c r="I19" s="3"/>
      <c r="J19" s="1" t="s">
        <v>57</v>
      </c>
    </row>
    <row r="20" spans="1:10" ht="18" customHeight="1" x14ac:dyDescent="0.25">
      <c r="A20" s="134"/>
      <c r="B20" s="100" t="s">
        <v>26</v>
      </c>
      <c r="C20" s="4"/>
      <c r="D20" s="5"/>
      <c r="E20" s="97" t="s">
        <v>57</v>
      </c>
      <c r="F20" s="134"/>
      <c r="G20" s="100" t="s">
        <v>26</v>
      </c>
      <c r="H20" s="4"/>
      <c r="I20" s="5"/>
      <c r="J20" s="1" t="s">
        <v>57</v>
      </c>
    </row>
    <row r="21" spans="1:10" ht="18" customHeight="1" x14ac:dyDescent="0.25">
      <c r="A21" s="134"/>
      <c r="B21" s="100" t="s">
        <v>26</v>
      </c>
      <c r="C21" s="4"/>
      <c r="D21" s="5"/>
      <c r="E21" s="97" t="s">
        <v>57</v>
      </c>
      <c r="F21" s="134"/>
      <c r="G21" s="100" t="s">
        <v>26</v>
      </c>
      <c r="H21" s="4"/>
      <c r="I21" s="5"/>
      <c r="J21" s="1" t="s">
        <v>57</v>
      </c>
    </row>
    <row r="22" spans="1:10" ht="18" customHeight="1" x14ac:dyDescent="0.25">
      <c r="A22" s="134"/>
      <c r="B22" s="100" t="s">
        <v>26</v>
      </c>
      <c r="C22" s="102"/>
      <c r="D22" s="5"/>
      <c r="E22" s="97" t="s">
        <v>57</v>
      </c>
      <c r="F22" s="134"/>
      <c r="G22" s="100" t="s">
        <v>26</v>
      </c>
      <c r="H22" s="102"/>
      <c r="I22" s="5"/>
      <c r="J22" s="1" t="s">
        <v>57</v>
      </c>
    </row>
    <row r="23" spans="1:10" ht="18" customHeight="1" x14ac:dyDescent="0.25">
      <c r="A23" s="134"/>
      <c r="B23" s="100" t="s">
        <v>26</v>
      </c>
      <c r="C23" s="6"/>
      <c r="D23" s="7"/>
      <c r="E23" s="97" t="s">
        <v>57</v>
      </c>
      <c r="F23" s="134"/>
      <c r="G23" s="100" t="s">
        <v>26</v>
      </c>
      <c r="H23" s="6"/>
      <c r="I23" s="7"/>
      <c r="J23" s="1" t="s">
        <v>57</v>
      </c>
    </row>
    <row r="24" spans="1:10" ht="18" customHeight="1" x14ac:dyDescent="0.25">
      <c r="A24" s="134"/>
      <c r="B24" s="100" t="s">
        <v>26</v>
      </c>
      <c r="C24" s="6"/>
      <c r="D24" s="5"/>
      <c r="E24" s="97" t="s">
        <v>57</v>
      </c>
      <c r="F24" s="134"/>
      <c r="G24" s="100" t="s">
        <v>26</v>
      </c>
      <c r="H24" s="6"/>
      <c r="I24" s="5"/>
      <c r="J24" s="1" t="s">
        <v>57</v>
      </c>
    </row>
    <row r="25" spans="1:10" ht="18" customHeight="1" x14ac:dyDescent="0.25">
      <c r="A25" s="134"/>
      <c r="B25" s="100" t="s">
        <v>26</v>
      </c>
      <c r="C25" s="102"/>
      <c r="D25" s="5"/>
      <c r="E25" s="97" t="s">
        <v>57</v>
      </c>
      <c r="F25" s="134"/>
      <c r="G25" s="100" t="s">
        <v>26</v>
      </c>
      <c r="H25" s="102"/>
      <c r="I25" s="5"/>
      <c r="J25" s="1" t="s">
        <v>57</v>
      </c>
    </row>
    <row r="26" spans="1:10" ht="18" customHeight="1" x14ac:dyDescent="0.25">
      <c r="A26" s="134"/>
      <c r="B26" s="100" t="s">
        <v>26</v>
      </c>
      <c r="C26" s="8"/>
      <c r="D26" s="7"/>
      <c r="E26" s="97" t="s">
        <v>57</v>
      </c>
      <c r="F26" s="134"/>
      <c r="G26" s="100" t="s">
        <v>26</v>
      </c>
      <c r="H26" s="8"/>
      <c r="I26" s="7"/>
      <c r="J26" s="1" t="s">
        <v>57</v>
      </c>
    </row>
    <row r="27" spans="1:10" ht="18" customHeight="1" x14ac:dyDescent="0.25">
      <c r="A27" s="134"/>
      <c r="B27" s="100" t="s">
        <v>26</v>
      </c>
      <c r="C27" s="102"/>
      <c r="D27" s="5"/>
      <c r="E27" s="97" t="s">
        <v>57</v>
      </c>
      <c r="F27" s="134"/>
      <c r="G27" s="100" t="s">
        <v>26</v>
      </c>
      <c r="H27" s="102"/>
      <c r="I27" s="5"/>
      <c r="J27" s="1" t="s">
        <v>57</v>
      </c>
    </row>
    <row r="28" spans="1:10" ht="18" customHeight="1" x14ac:dyDescent="0.25">
      <c r="A28" s="134"/>
      <c r="B28" s="100" t="s">
        <v>26</v>
      </c>
      <c r="C28" s="9"/>
      <c r="D28" s="7"/>
      <c r="E28" s="97" t="s">
        <v>57</v>
      </c>
      <c r="F28" s="134"/>
      <c r="G28" s="100" t="s">
        <v>26</v>
      </c>
      <c r="H28" s="9"/>
      <c r="I28" s="7"/>
      <c r="J28" s="1" t="s">
        <v>57</v>
      </c>
    </row>
    <row r="29" spans="1:10" ht="18" customHeight="1" x14ac:dyDescent="0.25">
      <c r="A29" s="134"/>
      <c r="B29" s="100" t="s">
        <v>26</v>
      </c>
      <c r="C29" s="9"/>
      <c r="D29" s="7"/>
      <c r="E29" s="97" t="s">
        <v>57</v>
      </c>
      <c r="F29" s="134"/>
      <c r="G29" s="100" t="s">
        <v>26</v>
      </c>
      <c r="H29" s="9"/>
      <c r="I29" s="7"/>
      <c r="J29" s="1" t="s">
        <v>57</v>
      </c>
    </row>
    <row r="30" spans="1:10" ht="18" customHeight="1" thickBot="1" x14ac:dyDescent="0.3">
      <c r="A30" s="135"/>
      <c r="B30" s="101" t="s">
        <v>26</v>
      </c>
      <c r="C30" s="10"/>
      <c r="D30" s="11"/>
      <c r="E30" s="97" t="s">
        <v>57</v>
      </c>
      <c r="F30" s="135"/>
      <c r="G30" s="101" t="s">
        <v>26</v>
      </c>
      <c r="H30" s="10"/>
      <c r="I30" s="11"/>
      <c r="J30" s="1" t="s">
        <v>57</v>
      </c>
    </row>
    <row r="31" spans="1:10" ht="18" customHeight="1" thickBot="1" x14ac:dyDescent="0.3">
      <c r="E31" s="97" t="s">
        <v>57</v>
      </c>
      <c r="J31" s="1" t="s">
        <v>57</v>
      </c>
    </row>
    <row r="32" spans="1:10" s="2" customFormat="1" ht="32.25" thickBot="1" x14ac:dyDescent="0.3">
      <c r="A32" s="98"/>
      <c r="B32" s="132" t="str">
        <f>"Programa "&amp;TEXT(A33,"dd/mm/aaaa")</f>
        <v>Programa 29/11/2015</v>
      </c>
      <c r="C32" s="132"/>
      <c r="D32" s="132"/>
      <c r="E32" s="97" t="s">
        <v>57</v>
      </c>
      <c r="G32" s="132" t="str">
        <f>"Programa "&amp;TEXT(F33,"dd/mm/aaaa")</f>
        <v>Programa 29/11/2015</v>
      </c>
      <c r="H32" s="132"/>
      <c r="I32" s="132"/>
      <c r="J32" s="1" t="s">
        <v>57</v>
      </c>
    </row>
    <row r="33" spans="1:10" ht="18" customHeight="1" x14ac:dyDescent="0.25">
      <c r="A33" s="133">
        <v>42337</v>
      </c>
      <c r="B33" s="99" t="s">
        <v>26</v>
      </c>
      <c r="C33" s="106"/>
      <c r="D33" s="3"/>
      <c r="E33" s="97" t="s">
        <v>57</v>
      </c>
      <c r="F33" s="133">
        <v>42337</v>
      </c>
      <c r="G33" s="99" t="s">
        <v>26</v>
      </c>
      <c r="H33" s="106"/>
      <c r="I33" s="3"/>
      <c r="J33" s="1" t="s">
        <v>57</v>
      </c>
    </row>
    <row r="34" spans="1:10" ht="18" customHeight="1" x14ac:dyDescent="0.25">
      <c r="A34" s="134"/>
      <c r="B34" s="100" t="s">
        <v>26</v>
      </c>
      <c r="C34" s="4"/>
      <c r="D34" s="5"/>
      <c r="E34" s="97" t="s">
        <v>57</v>
      </c>
      <c r="F34" s="134"/>
      <c r="G34" s="100" t="s">
        <v>26</v>
      </c>
      <c r="H34" s="4"/>
      <c r="I34" s="5"/>
      <c r="J34" s="1" t="s">
        <v>57</v>
      </c>
    </row>
    <row r="35" spans="1:10" ht="18" customHeight="1" x14ac:dyDescent="0.25">
      <c r="A35" s="134"/>
      <c r="B35" s="100" t="s">
        <v>26</v>
      </c>
      <c r="C35" s="4"/>
      <c r="D35" s="5"/>
      <c r="E35" s="97" t="s">
        <v>57</v>
      </c>
      <c r="F35" s="134"/>
      <c r="G35" s="100" t="s">
        <v>26</v>
      </c>
      <c r="H35" s="4"/>
      <c r="I35" s="5"/>
      <c r="J35" s="1" t="s">
        <v>57</v>
      </c>
    </row>
    <row r="36" spans="1:10" ht="18" customHeight="1" x14ac:dyDescent="0.25">
      <c r="A36" s="134"/>
      <c r="B36" s="100" t="s">
        <v>26</v>
      </c>
      <c r="C36" s="102"/>
      <c r="D36" s="5"/>
      <c r="E36" s="97" t="s">
        <v>57</v>
      </c>
      <c r="F36" s="134"/>
      <c r="G36" s="100" t="s">
        <v>26</v>
      </c>
      <c r="H36" s="102"/>
      <c r="I36" s="5"/>
      <c r="J36" s="1" t="s">
        <v>57</v>
      </c>
    </row>
    <row r="37" spans="1:10" ht="18" customHeight="1" x14ac:dyDescent="0.25">
      <c r="A37" s="134"/>
      <c r="B37" s="100" t="s">
        <v>26</v>
      </c>
      <c r="C37" s="6"/>
      <c r="D37" s="7"/>
      <c r="E37" s="97" t="s">
        <v>57</v>
      </c>
      <c r="F37" s="134"/>
      <c r="G37" s="100" t="s">
        <v>26</v>
      </c>
      <c r="H37" s="6"/>
      <c r="I37" s="7"/>
      <c r="J37" s="1" t="s">
        <v>57</v>
      </c>
    </row>
    <row r="38" spans="1:10" ht="18" customHeight="1" x14ac:dyDescent="0.25">
      <c r="A38" s="134"/>
      <c r="B38" s="100" t="s">
        <v>26</v>
      </c>
      <c r="C38" s="6"/>
      <c r="D38" s="5"/>
      <c r="E38" s="97" t="s">
        <v>57</v>
      </c>
      <c r="F38" s="134"/>
      <c r="G38" s="100" t="s">
        <v>26</v>
      </c>
      <c r="H38" s="6"/>
      <c r="I38" s="5"/>
      <c r="J38" s="1" t="s">
        <v>57</v>
      </c>
    </row>
    <row r="39" spans="1:10" ht="18" customHeight="1" x14ac:dyDescent="0.25">
      <c r="A39" s="134"/>
      <c r="B39" s="100" t="s">
        <v>26</v>
      </c>
      <c r="C39" s="102"/>
      <c r="D39" s="5"/>
      <c r="E39" s="97" t="s">
        <v>57</v>
      </c>
      <c r="F39" s="134"/>
      <c r="G39" s="100" t="s">
        <v>26</v>
      </c>
      <c r="H39" s="102"/>
      <c r="I39" s="5"/>
      <c r="J39" s="1" t="s">
        <v>57</v>
      </c>
    </row>
    <row r="40" spans="1:10" ht="18" customHeight="1" x14ac:dyDescent="0.25">
      <c r="A40" s="134"/>
      <c r="B40" s="100" t="s">
        <v>26</v>
      </c>
      <c r="C40" s="8"/>
      <c r="D40" s="7"/>
      <c r="E40" s="97" t="s">
        <v>57</v>
      </c>
      <c r="F40" s="134"/>
      <c r="G40" s="100" t="s">
        <v>26</v>
      </c>
      <c r="H40" s="8"/>
      <c r="I40" s="7"/>
      <c r="J40" s="1" t="s">
        <v>57</v>
      </c>
    </row>
    <row r="41" spans="1:10" ht="18" customHeight="1" x14ac:dyDescent="0.25">
      <c r="A41" s="134"/>
      <c r="B41" s="100" t="s">
        <v>26</v>
      </c>
      <c r="C41" s="102"/>
      <c r="D41" s="5"/>
      <c r="E41" s="97" t="s">
        <v>57</v>
      </c>
      <c r="F41" s="134"/>
      <c r="G41" s="100" t="s">
        <v>26</v>
      </c>
      <c r="H41" s="102"/>
      <c r="I41" s="5"/>
      <c r="J41" s="1" t="s">
        <v>57</v>
      </c>
    </row>
    <row r="42" spans="1:10" ht="18" customHeight="1" x14ac:dyDescent="0.25">
      <c r="A42" s="134"/>
      <c r="B42" s="100" t="s">
        <v>26</v>
      </c>
      <c r="C42" s="9"/>
      <c r="D42" s="7"/>
      <c r="E42" s="97" t="s">
        <v>57</v>
      </c>
      <c r="F42" s="134"/>
      <c r="G42" s="100" t="s">
        <v>26</v>
      </c>
      <c r="H42" s="9"/>
      <c r="I42" s="7"/>
      <c r="J42" s="1" t="s">
        <v>57</v>
      </c>
    </row>
    <row r="43" spans="1:10" ht="18" customHeight="1" x14ac:dyDescent="0.25">
      <c r="A43" s="134"/>
      <c r="B43" s="100" t="s">
        <v>26</v>
      </c>
      <c r="C43" s="9"/>
      <c r="D43" s="7"/>
      <c r="E43" s="97" t="s">
        <v>57</v>
      </c>
      <c r="F43" s="134"/>
      <c r="G43" s="100" t="s">
        <v>26</v>
      </c>
      <c r="H43" s="9"/>
      <c r="I43" s="7"/>
      <c r="J43" s="1" t="s">
        <v>57</v>
      </c>
    </row>
    <row r="44" spans="1:10" ht="18" customHeight="1" thickBot="1" x14ac:dyDescent="0.3">
      <c r="A44" s="135"/>
      <c r="B44" s="101" t="s">
        <v>26</v>
      </c>
      <c r="C44" s="10"/>
      <c r="D44" s="11"/>
      <c r="E44" s="97" t="s">
        <v>57</v>
      </c>
      <c r="F44" s="135"/>
      <c r="G44" s="101" t="s">
        <v>26</v>
      </c>
      <c r="H44" s="10"/>
      <c r="I44" s="11"/>
      <c r="J44" s="1" t="s">
        <v>57</v>
      </c>
    </row>
  </sheetData>
  <sheetProtection sheet="1" objects="1" scenarios="1"/>
  <mergeCells count="12">
    <mergeCell ref="A33:A44"/>
    <mergeCell ref="F33:F44"/>
    <mergeCell ref="A5:A16"/>
    <mergeCell ref="F5:F16"/>
    <mergeCell ref="A19:A30"/>
    <mergeCell ref="F19:F30"/>
    <mergeCell ref="B4:D4"/>
    <mergeCell ref="G4:I4"/>
    <mergeCell ref="B18:D18"/>
    <mergeCell ref="G18:I18"/>
    <mergeCell ref="B32:D32"/>
    <mergeCell ref="G32:I32"/>
  </mergeCells>
  <printOptions horizontalCentered="1"/>
  <pageMargins left="0.19685039370078741" right="0.19685039370078741" top="0.39370078740157483" bottom="0.39370078740157483" header="0.19685039370078741" footer="0.19685039370078741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" r:id="rId4" name="Button 760">
              <controlPr defaultSize="0" print="0" autoFill="0" autoPict="0" macro="[0]!PreencherImprimir">
                <anchor moveWithCells="1">
                  <from>
                    <xdr:col>2</xdr:col>
                    <xdr:colOff>0</xdr:colOff>
                    <xdr:row>0</xdr:row>
                    <xdr:rowOff>66675</xdr:rowOff>
                  </from>
                  <to>
                    <xdr:col>2</xdr:col>
                    <xdr:colOff>1219200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I7"/>
  <sheetViews>
    <sheetView zoomScaleNormal="100" workbookViewId="0"/>
  </sheetViews>
  <sheetFormatPr defaultRowHeight="15.75" x14ac:dyDescent="0.25"/>
  <cols>
    <col min="1" max="9" width="11.7109375" style="18" customWidth="1"/>
    <col min="10" max="256" width="9.140625" style="18"/>
    <col min="257" max="257" width="12.7109375" style="18" bestFit="1" customWidth="1"/>
    <col min="258" max="258" width="9.140625" style="18"/>
    <col min="259" max="263" width="10.7109375" style="18" bestFit="1" customWidth="1"/>
    <col min="264" max="264" width="9.140625" style="18"/>
    <col min="265" max="265" width="10.7109375" style="18" bestFit="1" customWidth="1"/>
    <col min="266" max="512" width="9.140625" style="18"/>
    <col min="513" max="513" width="12.7109375" style="18" bestFit="1" customWidth="1"/>
    <col min="514" max="514" width="9.140625" style="18"/>
    <col min="515" max="519" width="10.7109375" style="18" bestFit="1" customWidth="1"/>
    <col min="520" max="520" width="9.140625" style="18"/>
    <col min="521" max="521" width="10.7109375" style="18" bestFit="1" customWidth="1"/>
    <col min="522" max="768" width="9.140625" style="18"/>
    <col min="769" max="769" width="12.7109375" style="18" bestFit="1" customWidth="1"/>
    <col min="770" max="770" width="9.140625" style="18"/>
    <col min="771" max="775" width="10.7109375" style="18" bestFit="1" customWidth="1"/>
    <col min="776" max="776" width="9.140625" style="18"/>
    <col min="777" max="777" width="10.7109375" style="18" bestFit="1" customWidth="1"/>
    <col min="778" max="1024" width="9.140625" style="18"/>
    <col min="1025" max="1025" width="12.7109375" style="18" bestFit="1" customWidth="1"/>
    <col min="1026" max="1026" width="9.140625" style="18"/>
    <col min="1027" max="1031" width="10.7109375" style="18" bestFit="1" customWidth="1"/>
    <col min="1032" max="1032" width="9.140625" style="18"/>
    <col min="1033" max="1033" width="10.7109375" style="18" bestFit="1" customWidth="1"/>
    <col min="1034" max="1280" width="9.140625" style="18"/>
    <col min="1281" max="1281" width="12.7109375" style="18" bestFit="1" customWidth="1"/>
    <col min="1282" max="1282" width="9.140625" style="18"/>
    <col min="1283" max="1287" width="10.7109375" style="18" bestFit="1" customWidth="1"/>
    <col min="1288" max="1288" width="9.140625" style="18"/>
    <col min="1289" max="1289" width="10.7109375" style="18" bestFit="1" customWidth="1"/>
    <col min="1290" max="1536" width="9.140625" style="18"/>
    <col min="1537" max="1537" width="12.7109375" style="18" bestFit="1" customWidth="1"/>
    <col min="1538" max="1538" width="9.140625" style="18"/>
    <col min="1539" max="1543" width="10.7109375" style="18" bestFit="1" customWidth="1"/>
    <col min="1544" max="1544" width="9.140625" style="18"/>
    <col min="1545" max="1545" width="10.7109375" style="18" bestFit="1" customWidth="1"/>
    <col min="1546" max="1792" width="9.140625" style="18"/>
    <col min="1793" max="1793" width="12.7109375" style="18" bestFit="1" customWidth="1"/>
    <col min="1794" max="1794" width="9.140625" style="18"/>
    <col min="1795" max="1799" width="10.7109375" style="18" bestFit="1" customWidth="1"/>
    <col min="1800" max="1800" width="9.140625" style="18"/>
    <col min="1801" max="1801" width="10.7109375" style="18" bestFit="1" customWidth="1"/>
    <col min="1802" max="2048" width="9.140625" style="18"/>
    <col min="2049" max="2049" width="12.7109375" style="18" bestFit="1" customWidth="1"/>
    <col min="2050" max="2050" width="9.140625" style="18"/>
    <col min="2051" max="2055" width="10.7109375" style="18" bestFit="1" customWidth="1"/>
    <col min="2056" max="2056" width="9.140625" style="18"/>
    <col min="2057" max="2057" width="10.7109375" style="18" bestFit="1" customWidth="1"/>
    <col min="2058" max="2304" width="9.140625" style="18"/>
    <col min="2305" max="2305" width="12.7109375" style="18" bestFit="1" customWidth="1"/>
    <col min="2306" max="2306" width="9.140625" style="18"/>
    <col min="2307" max="2311" width="10.7109375" style="18" bestFit="1" customWidth="1"/>
    <col min="2312" max="2312" width="9.140625" style="18"/>
    <col min="2313" max="2313" width="10.7109375" style="18" bestFit="1" customWidth="1"/>
    <col min="2314" max="2560" width="9.140625" style="18"/>
    <col min="2561" max="2561" width="12.7109375" style="18" bestFit="1" customWidth="1"/>
    <col min="2562" max="2562" width="9.140625" style="18"/>
    <col min="2563" max="2567" width="10.7109375" style="18" bestFit="1" customWidth="1"/>
    <col min="2568" max="2568" width="9.140625" style="18"/>
    <col min="2569" max="2569" width="10.7109375" style="18" bestFit="1" customWidth="1"/>
    <col min="2570" max="2816" width="9.140625" style="18"/>
    <col min="2817" max="2817" width="12.7109375" style="18" bestFit="1" customWidth="1"/>
    <col min="2818" max="2818" width="9.140625" style="18"/>
    <col min="2819" max="2823" width="10.7109375" style="18" bestFit="1" customWidth="1"/>
    <col min="2824" max="2824" width="9.140625" style="18"/>
    <col min="2825" max="2825" width="10.7109375" style="18" bestFit="1" customWidth="1"/>
    <col min="2826" max="3072" width="9.140625" style="18"/>
    <col min="3073" max="3073" width="12.7109375" style="18" bestFit="1" customWidth="1"/>
    <col min="3074" max="3074" width="9.140625" style="18"/>
    <col min="3075" max="3079" width="10.7109375" style="18" bestFit="1" customWidth="1"/>
    <col min="3080" max="3080" width="9.140625" style="18"/>
    <col min="3081" max="3081" width="10.7109375" style="18" bestFit="1" customWidth="1"/>
    <col min="3082" max="3328" width="9.140625" style="18"/>
    <col min="3329" max="3329" width="12.7109375" style="18" bestFit="1" customWidth="1"/>
    <col min="3330" max="3330" width="9.140625" style="18"/>
    <col min="3331" max="3335" width="10.7109375" style="18" bestFit="1" customWidth="1"/>
    <col min="3336" max="3336" width="9.140625" style="18"/>
    <col min="3337" max="3337" width="10.7109375" style="18" bestFit="1" customWidth="1"/>
    <col min="3338" max="3584" width="9.140625" style="18"/>
    <col min="3585" max="3585" width="12.7109375" style="18" bestFit="1" customWidth="1"/>
    <col min="3586" max="3586" width="9.140625" style="18"/>
    <col min="3587" max="3591" width="10.7109375" style="18" bestFit="1" customWidth="1"/>
    <col min="3592" max="3592" width="9.140625" style="18"/>
    <col min="3593" max="3593" width="10.7109375" style="18" bestFit="1" customWidth="1"/>
    <col min="3594" max="3840" width="9.140625" style="18"/>
    <col min="3841" max="3841" width="12.7109375" style="18" bestFit="1" customWidth="1"/>
    <col min="3842" max="3842" width="9.140625" style="18"/>
    <col min="3843" max="3847" width="10.7109375" style="18" bestFit="1" customWidth="1"/>
    <col min="3848" max="3848" width="9.140625" style="18"/>
    <col min="3849" max="3849" width="10.7109375" style="18" bestFit="1" customWidth="1"/>
    <col min="3850" max="4096" width="9.140625" style="18"/>
    <col min="4097" max="4097" width="12.7109375" style="18" bestFit="1" customWidth="1"/>
    <col min="4098" max="4098" width="9.140625" style="18"/>
    <col min="4099" max="4103" width="10.7109375" style="18" bestFit="1" customWidth="1"/>
    <col min="4104" max="4104" width="9.140625" style="18"/>
    <col min="4105" max="4105" width="10.7109375" style="18" bestFit="1" customWidth="1"/>
    <col min="4106" max="4352" width="9.140625" style="18"/>
    <col min="4353" max="4353" width="12.7109375" style="18" bestFit="1" customWidth="1"/>
    <col min="4354" max="4354" width="9.140625" style="18"/>
    <col min="4355" max="4359" width="10.7109375" style="18" bestFit="1" customWidth="1"/>
    <col min="4360" max="4360" width="9.140625" style="18"/>
    <col min="4361" max="4361" width="10.7109375" style="18" bestFit="1" customWidth="1"/>
    <col min="4362" max="4608" width="9.140625" style="18"/>
    <col min="4609" max="4609" width="12.7109375" style="18" bestFit="1" customWidth="1"/>
    <col min="4610" max="4610" width="9.140625" style="18"/>
    <col min="4611" max="4615" width="10.7109375" style="18" bestFit="1" customWidth="1"/>
    <col min="4616" max="4616" width="9.140625" style="18"/>
    <col min="4617" max="4617" width="10.7109375" style="18" bestFit="1" customWidth="1"/>
    <col min="4618" max="4864" width="9.140625" style="18"/>
    <col min="4865" max="4865" width="12.7109375" style="18" bestFit="1" customWidth="1"/>
    <col min="4866" max="4866" width="9.140625" style="18"/>
    <col min="4867" max="4871" width="10.7109375" style="18" bestFit="1" customWidth="1"/>
    <col min="4872" max="4872" width="9.140625" style="18"/>
    <col min="4873" max="4873" width="10.7109375" style="18" bestFit="1" customWidth="1"/>
    <col min="4874" max="5120" width="9.140625" style="18"/>
    <col min="5121" max="5121" width="12.7109375" style="18" bestFit="1" customWidth="1"/>
    <col min="5122" max="5122" width="9.140625" style="18"/>
    <col min="5123" max="5127" width="10.7109375" style="18" bestFit="1" customWidth="1"/>
    <col min="5128" max="5128" width="9.140625" style="18"/>
    <col min="5129" max="5129" width="10.7109375" style="18" bestFit="1" customWidth="1"/>
    <col min="5130" max="5376" width="9.140625" style="18"/>
    <col min="5377" max="5377" width="12.7109375" style="18" bestFit="1" customWidth="1"/>
    <col min="5378" max="5378" width="9.140625" style="18"/>
    <col min="5379" max="5383" width="10.7109375" style="18" bestFit="1" customWidth="1"/>
    <col min="5384" max="5384" width="9.140625" style="18"/>
    <col min="5385" max="5385" width="10.7109375" style="18" bestFit="1" customWidth="1"/>
    <col min="5386" max="5632" width="9.140625" style="18"/>
    <col min="5633" max="5633" width="12.7109375" style="18" bestFit="1" customWidth="1"/>
    <col min="5634" max="5634" width="9.140625" style="18"/>
    <col min="5635" max="5639" width="10.7109375" style="18" bestFit="1" customWidth="1"/>
    <col min="5640" max="5640" width="9.140625" style="18"/>
    <col min="5641" max="5641" width="10.7109375" style="18" bestFit="1" customWidth="1"/>
    <col min="5642" max="5888" width="9.140625" style="18"/>
    <col min="5889" max="5889" width="12.7109375" style="18" bestFit="1" customWidth="1"/>
    <col min="5890" max="5890" width="9.140625" style="18"/>
    <col min="5891" max="5895" width="10.7109375" style="18" bestFit="1" customWidth="1"/>
    <col min="5896" max="5896" width="9.140625" style="18"/>
    <col min="5897" max="5897" width="10.7109375" style="18" bestFit="1" customWidth="1"/>
    <col min="5898" max="6144" width="9.140625" style="18"/>
    <col min="6145" max="6145" width="12.7109375" style="18" bestFit="1" customWidth="1"/>
    <col min="6146" max="6146" width="9.140625" style="18"/>
    <col min="6147" max="6151" width="10.7109375" style="18" bestFit="1" customWidth="1"/>
    <col min="6152" max="6152" width="9.140625" style="18"/>
    <col min="6153" max="6153" width="10.7109375" style="18" bestFit="1" customWidth="1"/>
    <col min="6154" max="6400" width="9.140625" style="18"/>
    <col min="6401" max="6401" width="12.7109375" style="18" bestFit="1" customWidth="1"/>
    <col min="6402" max="6402" width="9.140625" style="18"/>
    <col min="6403" max="6407" width="10.7109375" style="18" bestFit="1" customWidth="1"/>
    <col min="6408" max="6408" width="9.140625" style="18"/>
    <col min="6409" max="6409" width="10.7109375" style="18" bestFit="1" customWidth="1"/>
    <col min="6410" max="6656" width="9.140625" style="18"/>
    <col min="6657" max="6657" width="12.7109375" style="18" bestFit="1" customWidth="1"/>
    <col min="6658" max="6658" width="9.140625" style="18"/>
    <col min="6659" max="6663" width="10.7109375" style="18" bestFit="1" customWidth="1"/>
    <col min="6664" max="6664" width="9.140625" style="18"/>
    <col min="6665" max="6665" width="10.7109375" style="18" bestFit="1" customWidth="1"/>
    <col min="6666" max="6912" width="9.140625" style="18"/>
    <col min="6913" max="6913" width="12.7109375" style="18" bestFit="1" customWidth="1"/>
    <col min="6914" max="6914" width="9.140625" style="18"/>
    <col min="6915" max="6919" width="10.7109375" style="18" bestFit="1" customWidth="1"/>
    <col min="6920" max="6920" width="9.140625" style="18"/>
    <col min="6921" max="6921" width="10.7109375" style="18" bestFit="1" customWidth="1"/>
    <col min="6922" max="7168" width="9.140625" style="18"/>
    <col min="7169" max="7169" width="12.7109375" style="18" bestFit="1" customWidth="1"/>
    <col min="7170" max="7170" width="9.140625" style="18"/>
    <col min="7171" max="7175" width="10.7109375" style="18" bestFit="1" customWidth="1"/>
    <col min="7176" max="7176" width="9.140625" style="18"/>
    <col min="7177" max="7177" width="10.7109375" style="18" bestFit="1" customWidth="1"/>
    <col min="7178" max="7424" width="9.140625" style="18"/>
    <col min="7425" max="7425" width="12.7109375" style="18" bestFit="1" customWidth="1"/>
    <col min="7426" max="7426" width="9.140625" style="18"/>
    <col min="7427" max="7431" width="10.7109375" style="18" bestFit="1" customWidth="1"/>
    <col min="7432" max="7432" width="9.140625" style="18"/>
    <col min="7433" max="7433" width="10.7109375" style="18" bestFit="1" customWidth="1"/>
    <col min="7434" max="7680" width="9.140625" style="18"/>
    <col min="7681" max="7681" width="12.7109375" style="18" bestFit="1" customWidth="1"/>
    <col min="7682" max="7682" width="9.140625" style="18"/>
    <col min="7683" max="7687" width="10.7109375" style="18" bestFit="1" customWidth="1"/>
    <col min="7688" max="7688" width="9.140625" style="18"/>
    <col min="7689" max="7689" width="10.7109375" style="18" bestFit="1" customWidth="1"/>
    <col min="7690" max="7936" width="9.140625" style="18"/>
    <col min="7937" max="7937" width="12.7109375" style="18" bestFit="1" customWidth="1"/>
    <col min="7938" max="7938" width="9.140625" style="18"/>
    <col min="7939" max="7943" width="10.7109375" style="18" bestFit="1" customWidth="1"/>
    <col min="7944" max="7944" width="9.140625" style="18"/>
    <col min="7945" max="7945" width="10.7109375" style="18" bestFit="1" customWidth="1"/>
    <col min="7946" max="8192" width="9.140625" style="18"/>
    <col min="8193" max="8193" width="12.7109375" style="18" bestFit="1" customWidth="1"/>
    <col min="8194" max="8194" width="9.140625" style="18"/>
    <col min="8195" max="8199" width="10.7109375" style="18" bestFit="1" customWidth="1"/>
    <col min="8200" max="8200" width="9.140625" style="18"/>
    <col min="8201" max="8201" width="10.7109375" style="18" bestFit="1" customWidth="1"/>
    <col min="8202" max="8448" width="9.140625" style="18"/>
    <col min="8449" max="8449" width="12.7109375" style="18" bestFit="1" customWidth="1"/>
    <col min="8450" max="8450" width="9.140625" style="18"/>
    <col min="8451" max="8455" width="10.7109375" style="18" bestFit="1" customWidth="1"/>
    <col min="8456" max="8456" width="9.140625" style="18"/>
    <col min="8457" max="8457" width="10.7109375" style="18" bestFit="1" customWidth="1"/>
    <col min="8458" max="8704" width="9.140625" style="18"/>
    <col min="8705" max="8705" width="12.7109375" style="18" bestFit="1" customWidth="1"/>
    <col min="8706" max="8706" width="9.140625" style="18"/>
    <col min="8707" max="8711" width="10.7109375" style="18" bestFit="1" customWidth="1"/>
    <col min="8712" max="8712" width="9.140625" style="18"/>
    <col min="8713" max="8713" width="10.7109375" style="18" bestFit="1" customWidth="1"/>
    <col min="8714" max="8960" width="9.140625" style="18"/>
    <col min="8961" max="8961" width="12.7109375" style="18" bestFit="1" customWidth="1"/>
    <col min="8962" max="8962" width="9.140625" style="18"/>
    <col min="8963" max="8967" width="10.7109375" style="18" bestFit="1" customWidth="1"/>
    <col min="8968" max="8968" width="9.140625" style="18"/>
    <col min="8969" max="8969" width="10.7109375" style="18" bestFit="1" customWidth="1"/>
    <col min="8970" max="9216" width="9.140625" style="18"/>
    <col min="9217" max="9217" width="12.7109375" style="18" bestFit="1" customWidth="1"/>
    <col min="9218" max="9218" width="9.140625" style="18"/>
    <col min="9219" max="9223" width="10.7109375" style="18" bestFit="1" customWidth="1"/>
    <col min="9224" max="9224" width="9.140625" style="18"/>
    <col min="9225" max="9225" width="10.7109375" style="18" bestFit="1" customWidth="1"/>
    <col min="9226" max="9472" width="9.140625" style="18"/>
    <col min="9473" max="9473" width="12.7109375" style="18" bestFit="1" customWidth="1"/>
    <col min="9474" max="9474" width="9.140625" style="18"/>
    <col min="9475" max="9479" width="10.7109375" style="18" bestFit="1" customWidth="1"/>
    <col min="9480" max="9480" width="9.140625" style="18"/>
    <col min="9481" max="9481" width="10.7109375" style="18" bestFit="1" customWidth="1"/>
    <col min="9482" max="9728" width="9.140625" style="18"/>
    <col min="9729" max="9729" width="12.7109375" style="18" bestFit="1" customWidth="1"/>
    <col min="9730" max="9730" width="9.140625" style="18"/>
    <col min="9731" max="9735" width="10.7109375" style="18" bestFit="1" customWidth="1"/>
    <col min="9736" max="9736" width="9.140625" style="18"/>
    <col min="9737" max="9737" width="10.7109375" style="18" bestFit="1" customWidth="1"/>
    <col min="9738" max="9984" width="9.140625" style="18"/>
    <col min="9985" max="9985" width="12.7109375" style="18" bestFit="1" customWidth="1"/>
    <col min="9986" max="9986" width="9.140625" style="18"/>
    <col min="9987" max="9991" width="10.7109375" style="18" bestFit="1" customWidth="1"/>
    <col min="9992" max="9992" width="9.140625" style="18"/>
    <col min="9993" max="9993" width="10.7109375" style="18" bestFit="1" customWidth="1"/>
    <col min="9994" max="10240" width="9.140625" style="18"/>
    <col min="10241" max="10241" width="12.7109375" style="18" bestFit="1" customWidth="1"/>
    <col min="10242" max="10242" width="9.140625" style="18"/>
    <col min="10243" max="10247" width="10.7109375" style="18" bestFit="1" customWidth="1"/>
    <col min="10248" max="10248" width="9.140625" style="18"/>
    <col min="10249" max="10249" width="10.7109375" style="18" bestFit="1" customWidth="1"/>
    <col min="10250" max="10496" width="9.140625" style="18"/>
    <col min="10497" max="10497" width="12.7109375" style="18" bestFit="1" customWidth="1"/>
    <col min="10498" max="10498" width="9.140625" style="18"/>
    <col min="10499" max="10503" width="10.7109375" style="18" bestFit="1" customWidth="1"/>
    <col min="10504" max="10504" width="9.140625" style="18"/>
    <col min="10505" max="10505" width="10.7109375" style="18" bestFit="1" customWidth="1"/>
    <col min="10506" max="10752" width="9.140625" style="18"/>
    <col min="10753" max="10753" width="12.7109375" style="18" bestFit="1" customWidth="1"/>
    <col min="10754" max="10754" width="9.140625" style="18"/>
    <col min="10755" max="10759" width="10.7109375" style="18" bestFit="1" customWidth="1"/>
    <col min="10760" max="10760" width="9.140625" style="18"/>
    <col min="10761" max="10761" width="10.7109375" style="18" bestFit="1" customWidth="1"/>
    <col min="10762" max="11008" width="9.140625" style="18"/>
    <col min="11009" max="11009" width="12.7109375" style="18" bestFit="1" customWidth="1"/>
    <col min="11010" max="11010" width="9.140625" style="18"/>
    <col min="11011" max="11015" width="10.7109375" style="18" bestFit="1" customWidth="1"/>
    <col min="11016" max="11016" width="9.140625" style="18"/>
    <col min="11017" max="11017" width="10.7109375" style="18" bestFit="1" customWidth="1"/>
    <col min="11018" max="11264" width="9.140625" style="18"/>
    <col min="11265" max="11265" width="12.7109375" style="18" bestFit="1" customWidth="1"/>
    <col min="11266" max="11266" width="9.140625" style="18"/>
    <col min="11267" max="11271" width="10.7109375" style="18" bestFit="1" customWidth="1"/>
    <col min="11272" max="11272" width="9.140625" style="18"/>
    <col min="11273" max="11273" width="10.7109375" style="18" bestFit="1" customWidth="1"/>
    <col min="11274" max="11520" width="9.140625" style="18"/>
    <col min="11521" max="11521" width="12.7109375" style="18" bestFit="1" customWidth="1"/>
    <col min="11522" max="11522" width="9.140625" style="18"/>
    <col min="11523" max="11527" width="10.7109375" style="18" bestFit="1" customWidth="1"/>
    <col min="11528" max="11528" width="9.140625" style="18"/>
    <col min="11529" max="11529" width="10.7109375" style="18" bestFit="1" customWidth="1"/>
    <col min="11530" max="11776" width="9.140625" style="18"/>
    <col min="11777" max="11777" width="12.7109375" style="18" bestFit="1" customWidth="1"/>
    <col min="11778" max="11778" width="9.140625" style="18"/>
    <col min="11779" max="11783" width="10.7109375" style="18" bestFit="1" customWidth="1"/>
    <col min="11784" max="11784" width="9.140625" style="18"/>
    <col min="11785" max="11785" width="10.7109375" style="18" bestFit="1" customWidth="1"/>
    <col min="11786" max="12032" width="9.140625" style="18"/>
    <col min="12033" max="12033" width="12.7109375" style="18" bestFit="1" customWidth="1"/>
    <col min="12034" max="12034" width="9.140625" style="18"/>
    <col min="12035" max="12039" width="10.7109375" style="18" bestFit="1" customWidth="1"/>
    <col min="12040" max="12040" width="9.140625" style="18"/>
    <col min="12041" max="12041" width="10.7109375" style="18" bestFit="1" customWidth="1"/>
    <col min="12042" max="12288" width="9.140625" style="18"/>
    <col min="12289" max="12289" width="12.7109375" style="18" bestFit="1" customWidth="1"/>
    <col min="12290" max="12290" width="9.140625" style="18"/>
    <col min="12291" max="12295" width="10.7109375" style="18" bestFit="1" customWidth="1"/>
    <col min="12296" max="12296" width="9.140625" style="18"/>
    <col min="12297" max="12297" width="10.7109375" style="18" bestFit="1" customWidth="1"/>
    <col min="12298" max="12544" width="9.140625" style="18"/>
    <col min="12545" max="12545" width="12.7109375" style="18" bestFit="1" customWidth="1"/>
    <col min="12546" max="12546" width="9.140625" style="18"/>
    <col min="12547" max="12551" width="10.7109375" style="18" bestFit="1" customWidth="1"/>
    <col min="12552" max="12552" width="9.140625" style="18"/>
    <col min="12553" max="12553" width="10.7109375" style="18" bestFit="1" customWidth="1"/>
    <col min="12554" max="12800" width="9.140625" style="18"/>
    <col min="12801" max="12801" width="12.7109375" style="18" bestFit="1" customWidth="1"/>
    <col min="12802" max="12802" width="9.140625" style="18"/>
    <col min="12803" max="12807" width="10.7109375" style="18" bestFit="1" customWidth="1"/>
    <col min="12808" max="12808" width="9.140625" style="18"/>
    <col min="12809" max="12809" width="10.7109375" style="18" bestFit="1" customWidth="1"/>
    <col min="12810" max="13056" width="9.140625" style="18"/>
    <col min="13057" max="13057" width="12.7109375" style="18" bestFit="1" customWidth="1"/>
    <col min="13058" max="13058" width="9.140625" style="18"/>
    <col min="13059" max="13063" width="10.7109375" style="18" bestFit="1" customWidth="1"/>
    <col min="13064" max="13064" width="9.140625" style="18"/>
    <col min="13065" max="13065" width="10.7109375" style="18" bestFit="1" customWidth="1"/>
    <col min="13066" max="13312" width="9.140625" style="18"/>
    <col min="13313" max="13313" width="12.7109375" style="18" bestFit="1" customWidth="1"/>
    <col min="13314" max="13314" width="9.140625" style="18"/>
    <col min="13315" max="13319" width="10.7109375" style="18" bestFit="1" customWidth="1"/>
    <col min="13320" max="13320" width="9.140625" style="18"/>
    <col min="13321" max="13321" width="10.7109375" style="18" bestFit="1" customWidth="1"/>
    <col min="13322" max="13568" width="9.140625" style="18"/>
    <col min="13569" max="13569" width="12.7109375" style="18" bestFit="1" customWidth="1"/>
    <col min="13570" max="13570" width="9.140625" style="18"/>
    <col min="13571" max="13575" width="10.7109375" style="18" bestFit="1" customWidth="1"/>
    <col min="13576" max="13576" width="9.140625" style="18"/>
    <col min="13577" max="13577" width="10.7109375" style="18" bestFit="1" customWidth="1"/>
    <col min="13578" max="13824" width="9.140625" style="18"/>
    <col min="13825" max="13825" width="12.7109375" style="18" bestFit="1" customWidth="1"/>
    <col min="13826" max="13826" width="9.140625" style="18"/>
    <col min="13827" max="13831" width="10.7109375" style="18" bestFit="1" customWidth="1"/>
    <col min="13832" max="13832" width="9.140625" style="18"/>
    <col min="13833" max="13833" width="10.7109375" style="18" bestFit="1" customWidth="1"/>
    <col min="13834" max="14080" width="9.140625" style="18"/>
    <col min="14081" max="14081" width="12.7109375" style="18" bestFit="1" customWidth="1"/>
    <col min="14082" max="14082" width="9.140625" style="18"/>
    <col min="14083" max="14087" width="10.7109375" style="18" bestFit="1" customWidth="1"/>
    <col min="14088" max="14088" width="9.140625" style="18"/>
    <col min="14089" max="14089" width="10.7109375" style="18" bestFit="1" customWidth="1"/>
    <col min="14090" max="14336" width="9.140625" style="18"/>
    <col min="14337" max="14337" width="12.7109375" style="18" bestFit="1" customWidth="1"/>
    <col min="14338" max="14338" width="9.140625" style="18"/>
    <col min="14339" max="14343" width="10.7109375" style="18" bestFit="1" customWidth="1"/>
    <col min="14344" max="14344" width="9.140625" style="18"/>
    <col min="14345" max="14345" width="10.7109375" style="18" bestFit="1" customWidth="1"/>
    <col min="14346" max="14592" width="9.140625" style="18"/>
    <col min="14593" max="14593" width="12.7109375" style="18" bestFit="1" customWidth="1"/>
    <col min="14594" max="14594" width="9.140625" style="18"/>
    <col min="14595" max="14599" width="10.7109375" style="18" bestFit="1" customWidth="1"/>
    <col min="14600" max="14600" width="9.140625" style="18"/>
    <col min="14601" max="14601" width="10.7109375" style="18" bestFit="1" customWidth="1"/>
    <col min="14602" max="14848" width="9.140625" style="18"/>
    <col min="14849" max="14849" width="12.7109375" style="18" bestFit="1" customWidth="1"/>
    <col min="14850" max="14850" width="9.140625" style="18"/>
    <col min="14851" max="14855" width="10.7109375" style="18" bestFit="1" customWidth="1"/>
    <col min="14856" max="14856" width="9.140625" style="18"/>
    <col min="14857" max="14857" width="10.7109375" style="18" bestFit="1" customWidth="1"/>
    <col min="14858" max="15104" width="9.140625" style="18"/>
    <col min="15105" max="15105" width="12.7109375" style="18" bestFit="1" customWidth="1"/>
    <col min="15106" max="15106" width="9.140625" style="18"/>
    <col min="15107" max="15111" width="10.7109375" style="18" bestFit="1" customWidth="1"/>
    <col min="15112" max="15112" width="9.140625" style="18"/>
    <col min="15113" max="15113" width="10.7109375" style="18" bestFit="1" customWidth="1"/>
    <col min="15114" max="15360" width="9.140625" style="18"/>
    <col min="15361" max="15361" width="12.7109375" style="18" bestFit="1" customWidth="1"/>
    <col min="15362" max="15362" width="9.140625" style="18"/>
    <col min="15363" max="15367" width="10.7109375" style="18" bestFit="1" customWidth="1"/>
    <col min="15368" max="15368" width="9.140625" style="18"/>
    <col min="15369" max="15369" width="10.7109375" style="18" bestFit="1" customWidth="1"/>
    <col min="15370" max="15616" width="9.140625" style="18"/>
    <col min="15617" max="15617" width="12.7109375" style="18" bestFit="1" customWidth="1"/>
    <col min="15618" max="15618" width="9.140625" style="18"/>
    <col min="15619" max="15623" width="10.7109375" style="18" bestFit="1" customWidth="1"/>
    <col min="15624" max="15624" width="9.140625" style="18"/>
    <col min="15625" max="15625" width="10.7109375" style="18" bestFit="1" customWidth="1"/>
    <col min="15626" max="15872" width="9.140625" style="18"/>
    <col min="15873" max="15873" width="12.7109375" style="18" bestFit="1" customWidth="1"/>
    <col min="15874" max="15874" width="9.140625" style="18"/>
    <col min="15875" max="15879" width="10.7109375" style="18" bestFit="1" customWidth="1"/>
    <col min="15880" max="15880" width="9.140625" style="18"/>
    <col min="15881" max="15881" width="10.7109375" style="18" bestFit="1" customWidth="1"/>
    <col min="15882" max="16128" width="9.140625" style="18"/>
    <col min="16129" max="16129" width="12.7109375" style="18" bestFit="1" customWidth="1"/>
    <col min="16130" max="16130" width="9.140625" style="18"/>
    <col min="16131" max="16135" width="10.7109375" style="18" bestFit="1" customWidth="1"/>
    <col min="16136" max="16136" width="9.140625" style="18"/>
    <col min="16137" max="16137" width="10.7109375" style="18" bestFit="1" customWidth="1"/>
    <col min="16138" max="16384" width="9.140625" style="18"/>
  </cols>
  <sheetData>
    <row r="1" spans="1:9" x14ac:dyDescent="0.25">
      <c r="A1"/>
      <c r="B1" s="53"/>
      <c r="C1" s="53"/>
      <c r="D1" s="53"/>
      <c r="E1" s="53"/>
      <c r="F1" s="53"/>
      <c r="G1" s="53"/>
      <c r="H1" s="54" t="s">
        <v>11</v>
      </c>
      <c r="I1" s="55" t="s">
        <v>12</v>
      </c>
    </row>
    <row r="2" spans="1:9" x14ac:dyDescent="0.25">
      <c r="A2" s="74"/>
      <c r="B2" s="58"/>
      <c r="C2" s="58"/>
      <c r="D2" s="58"/>
      <c r="E2" s="58"/>
      <c r="F2" s="58"/>
      <c r="G2" s="58"/>
      <c r="H2" s="58"/>
      <c r="I2" s="60" t="s">
        <v>14</v>
      </c>
    </row>
    <row r="3" spans="1:9" ht="16.5" thickBot="1" x14ac:dyDescent="0.3">
      <c r="A3" s="75"/>
      <c r="B3" s="63"/>
      <c r="C3" s="63"/>
      <c r="D3" s="63"/>
      <c r="E3" s="63"/>
      <c r="F3" s="63"/>
      <c r="G3" s="63"/>
      <c r="H3" s="63"/>
      <c r="I3" s="65" t="s">
        <v>13</v>
      </c>
    </row>
    <row r="4" spans="1:9" s="77" customFormat="1" x14ac:dyDescent="0.25">
      <c r="A4" s="76" t="s">
        <v>2</v>
      </c>
      <c r="B4" s="76" t="s">
        <v>3</v>
      </c>
      <c r="C4" s="76" t="s">
        <v>4</v>
      </c>
      <c r="D4" s="76" t="s">
        <v>5</v>
      </c>
      <c r="E4" s="76" t="s">
        <v>6</v>
      </c>
      <c r="F4" s="76" t="s">
        <v>7</v>
      </c>
      <c r="G4" s="76" t="s">
        <v>8</v>
      </c>
      <c r="H4" s="76" t="s">
        <v>9</v>
      </c>
      <c r="I4" s="76" t="s">
        <v>10</v>
      </c>
    </row>
    <row r="5" spans="1:9" x14ac:dyDescent="0.25">
      <c r="A5" s="78">
        <f t="shared" ref="A5:A6" si="0">A6+7</f>
        <v>42337</v>
      </c>
      <c r="B5" s="78"/>
      <c r="C5" s="78"/>
      <c r="D5" s="78"/>
      <c r="E5" s="78"/>
      <c r="F5" s="78"/>
      <c r="G5" s="78"/>
      <c r="H5" s="78"/>
      <c r="I5" s="78"/>
    </row>
    <row r="6" spans="1:9" x14ac:dyDescent="0.25">
      <c r="A6" s="78">
        <f t="shared" si="0"/>
        <v>42330</v>
      </c>
      <c r="B6" s="78"/>
      <c r="C6" s="78"/>
      <c r="D6" s="78"/>
      <c r="E6" s="78"/>
      <c r="F6" s="78"/>
      <c r="G6" s="78"/>
      <c r="H6" s="78"/>
      <c r="I6" s="78"/>
    </row>
    <row r="7" spans="1:9" x14ac:dyDescent="0.25">
      <c r="A7" s="78">
        <v>42323</v>
      </c>
      <c r="B7" s="78"/>
      <c r="C7" s="78"/>
      <c r="D7" s="78"/>
      <c r="E7" s="78"/>
      <c r="F7" s="78"/>
      <c r="G7" s="78"/>
      <c r="H7" s="78"/>
      <c r="I7" s="78"/>
    </row>
  </sheetData>
  <autoFilter ref="A4:I4"/>
  <conditionalFormatting sqref="A7 C7:I7">
    <cfRule type="expression" dxfId="25" priority="95" stopIfTrue="1">
      <formula>AND($A7&gt;=TODAY(), ($A7-TODAY())&lt;7)</formula>
    </cfRule>
    <cfRule type="expression" dxfId="24" priority="96" stopIfTrue="1">
      <formula>$A7&lt;TODAY()</formula>
    </cfRule>
  </conditionalFormatting>
  <conditionalFormatting sqref="C7:I7">
    <cfRule type="expression" dxfId="23" priority="93" stopIfTrue="1">
      <formula>AND($A7&gt;=TODAY(), ($A7-TODAY())&lt;7)</formula>
    </cfRule>
    <cfRule type="expression" dxfId="22" priority="94" stopIfTrue="1">
      <formula>$A7&lt;TODAY()</formula>
    </cfRule>
  </conditionalFormatting>
  <conditionalFormatting sqref="B7">
    <cfRule type="expression" dxfId="21" priority="91" stopIfTrue="1">
      <formula>AND($A7&gt;=TODAY(), ($A7-TODAY())&lt;7)</formula>
    </cfRule>
    <cfRule type="expression" dxfId="20" priority="92" stopIfTrue="1">
      <formula>$A7&lt;TODAY()</formula>
    </cfRule>
  </conditionalFormatting>
  <conditionalFormatting sqref="B7">
    <cfRule type="expression" dxfId="19" priority="89" stopIfTrue="1">
      <formula>AND($A7&gt;=TODAY(), ($A7-TODAY())&lt;7)</formula>
    </cfRule>
    <cfRule type="expression" dxfId="18" priority="90" stopIfTrue="1">
      <formula>$A7&lt;TODAY()</formula>
    </cfRule>
  </conditionalFormatting>
  <conditionalFormatting sqref="A6 C6:I6">
    <cfRule type="expression" dxfId="17" priority="87" stopIfTrue="1">
      <formula>AND($A6&gt;=TODAY(), ($A6-TODAY())&lt;7)</formula>
    </cfRule>
    <cfRule type="expression" dxfId="16" priority="88" stopIfTrue="1">
      <formula>$A6&lt;TODAY()</formula>
    </cfRule>
  </conditionalFormatting>
  <conditionalFormatting sqref="C6:I6">
    <cfRule type="expression" dxfId="15" priority="85" stopIfTrue="1">
      <formula>AND($A6&gt;=TODAY(), ($A6-TODAY())&lt;7)</formula>
    </cfRule>
    <cfRule type="expression" dxfId="14" priority="86" stopIfTrue="1">
      <formula>$A6&lt;TODAY()</formula>
    </cfRule>
  </conditionalFormatting>
  <conditionalFormatting sqref="B6">
    <cfRule type="expression" dxfId="13" priority="83" stopIfTrue="1">
      <formula>AND($A6&gt;=TODAY(), ($A6-TODAY())&lt;7)</formula>
    </cfRule>
    <cfRule type="expression" dxfId="12" priority="84" stopIfTrue="1">
      <formula>$A6&lt;TODAY()</formula>
    </cfRule>
  </conditionalFormatting>
  <conditionalFormatting sqref="B6">
    <cfRule type="expression" dxfId="11" priority="81" stopIfTrue="1">
      <formula>AND($A6&gt;=TODAY(), ($A6-TODAY())&lt;7)</formula>
    </cfRule>
    <cfRule type="expression" dxfId="10" priority="82" stopIfTrue="1">
      <formula>$A6&lt;TODAY()</formula>
    </cfRule>
  </conditionalFormatting>
  <conditionalFormatting sqref="A5 C5:I5">
    <cfRule type="expression" dxfId="9" priority="7" stopIfTrue="1">
      <formula>AND($A5&gt;=TODAY(), ($A5-TODAY())&lt;7)</formula>
    </cfRule>
    <cfRule type="expression" dxfId="8" priority="8" stopIfTrue="1">
      <formula>$A5&lt;TODAY()</formula>
    </cfRule>
  </conditionalFormatting>
  <conditionalFormatting sqref="C5:I5">
    <cfRule type="expression" dxfId="7" priority="5" stopIfTrue="1">
      <formula>AND($A5&gt;=TODAY(), ($A5-TODAY())&lt;7)</formula>
    </cfRule>
    <cfRule type="expression" dxfId="6" priority="6" stopIfTrue="1">
      <formula>$A5&lt;TODAY()</formula>
    </cfRule>
  </conditionalFormatting>
  <conditionalFormatting sqref="B5">
    <cfRule type="expression" dxfId="5" priority="3" stopIfTrue="1">
      <formula>AND($A5&gt;=TODAY(), ($A5-TODAY())&lt;7)</formula>
    </cfRule>
    <cfRule type="expression" dxfId="4" priority="4" stopIfTrue="1">
      <formula>$A5&lt;TODAY()</formula>
    </cfRule>
  </conditionalFormatting>
  <conditionalFormatting sqref="B5">
    <cfRule type="expression" dxfId="3" priority="1" stopIfTrue="1">
      <formula>AND($A5&gt;=TODAY(), ($A5-TODAY())&lt;7)</formula>
    </cfRule>
    <cfRule type="expression" dxfId="2" priority="2" stopIfTrue="1">
      <formula>$A5&lt;TODAY()</formula>
    </cfRule>
  </conditionalFormatting>
  <pageMargins left="1" right="1" top="1" bottom="1" header="0" footer="0"/>
  <pageSetup paperSize="9" fitToWidth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scalaInserirData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542925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scalaRemoverData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T500"/>
  <sheetViews>
    <sheetView workbookViewId="0">
      <selection sqref="A1:A2"/>
    </sheetView>
  </sheetViews>
  <sheetFormatPr defaultRowHeight="15.75" x14ac:dyDescent="0.25"/>
  <cols>
    <col min="1" max="1" width="5.28515625" style="86" bestFit="1" customWidth="1"/>
    <col min="2" max="2" width="65" style="16" bestFit="1" customWidth="1"/>
    <col min="3" max="3" width="12.28515625" style="126" customWidth="1"/>
    <col min="4" max="4" width="11.85546875" style="122" bestFit="1" customWidth="1"/>
    <col min="5" max="5" width="6.140625" style="18" bestFit="1" customWidth="1"/>
    <col min="6" max="6" width="10.28515625" style="18" bestFit="1" customWidth="1"/>
    <col min="7" max="13" width="12.5703125" style="83" customWidth="1"/>
    <col min="14" max="258" width="9.140625" style="18"/>
    <col min="259" max="259" width="33" style="18" bestFit="1" customWidth="1"/>
    <col min="260" max="260" width="32.28515625" style="18" bestFit="1" customWidth="1"/>
    <col min="261" max="261" width="28.42578125" style="18" bestFit="1" customWidth="1"/>
    <col min="262" max="514" width="9.140625" style="18"/>
    <col min="515" max="515" width="33" style="18" bestFit="1" customWidth="1"/>
    <col min="516" max="516" width="32.28515625" style="18" bestFit="1" customWidth="1"/>
    <col min="517" max="517" width="28.42578125" style="18" bestFit="1" customWidth="1"/>
    <col min="518" max="770" width="9.140625" style="18"/>
    <col min="771" max="771" width="33" style="18" bestFit="1" customWidth="1"/>
    <col min="772" max="772" width="32.28515625" style="18" bestFit="1" customWidth="1"/>
    <col min="773" max="773" width="28.42578125" style="18" bestFit="1" customWidth="1"/>
    <col min="774" max="1026" width="9.140625" style="18"/>
    <col min="1027" max="1027" width="33" style="18" bestFit="1" customWidth="1"/>
    <col min="1028" max="1028" width="32.28515625" style="18" bestFit="1" customWidth="1"/>
    <col min="1029" max="1029" width="28.42578125" style="18" bestFit="1" customWidth="1"/>
    <col min="1030" max="1282" width="9.140625" style="18"/>
    <col min="1283" max="1283" width="33" style="18" bestFit="1" customWidth="1"/>
    <col min="1284" max="1284" width="32.28515625" style="18" bestFit="1" customWidth="1"/>
    <col min="1285" max="1285" width="28.42578125" style="18" bestFit="1" customWidth="1"/>
    <col min="1286" max="1538" width="9.140625" style="18"/>
    <col min="1539" max="1539" width="33" style="18" bestFit="1" customWidth="1"/>
    <col min="1540" max="1540" width="32.28515625" style="18" bestFit="1" customWidth="1"/>
    <col min="1541" max="1541" width="28.42578125" style="18" bestFit="1" customWidth="1"/>
    <col min="1542" max="1794" width="9.140625" style="18"/>
    <col min="1795" max="1795" width="33" style="18" bestFit="1" customWidth="1"/>
    <col min="1796" max="1796" width="32.28515625" style="18" bestFit="1" customWidth="1"/>
    <col min="1797" max="1797" width="28.42578125" style="18" bestFit="1" customWidth="1"/>
    <col min="1798" max="2050" width="9.140625" style="18"/>
    <col min="2051" max="2051" width="33" style="18" bestFit="1" customWidth="1"/>
    <col min="2052" max="2052" width="32.28515625" style="18" bestFit="1" customWidth="1"/>
    <col min="2053" max="2053" width="28.42578125" style="18" bestFit="1" customWidth="1"/>
    <col min="2054" max="2306" width="9.140625" style="18"/>
    <col min="2307" max="2307" width="33" style="18" bestFit="1" customWidth="1"/>
    <col min="2308" max="2308" width="32.28515625" style="18" bestFit="1" customWidth="1"/>
    <col min="2309" max="2309" width="28.42578125" style="18" bestFit="1" customWidth="1"/>
    <col min="2310" max="2562" width="9.140625" style="18"/>
    <col min="2563" max="2563" width="33" style="18" bestFit="1" customWidth="1"/>
    <col min="2564" max="2564" width="32.28515625" style="18" bestFit="1" customWidth="1"/>
    <col min="2565" max="2565" width="28.42578125" style="18" bestFit="1" customWidth="1"/>
    <col min="2566" max="2818" width="9.140625" style="18"/>
    <col min="2819" max="2819" width="33" style="18" bestFit="1" customWidth="1"/>
    <col min="2820" max="2820" width="32.28515625" style="18" bestFit="1" customWidth="1"/>
    <col min="2821" max="2821" width="28.42578125" style="18" bestFit="1" customWidth="1"/>
    <col min="2822" max="3074" width="9.140625" style="18"/>
    <col min="3075" max="3075" width="33" style="18" bestFit="1" customWidth="1"/>
    <col min="3076" max="3076" width="32.28515625" style="18" bestFit="1" customWidth="1"/>
    <col min="3077" max="3077" width="28.42578125" style="18" bestFit="1" customWidth="1"/>
    <col min="3078" max="3330" width="9.140625" style="18"/>
    <col min="3331" max="3331" width="33" style="18" bestFit="1" customWidth="1"/>
    <col min="3332" max="3332" width="32.28515625" style="18" bestFit="1" customWidth="1"/>
    <col min="3333" max="3333" width="28.42578125" style="18" bestFit="1" customWidth="1"/>
    <col min="3334" max="3586" width="9.140625" style="18"/>
    <col min="3587" max="3587" width="33" style="18" bestFit="1" customWidth="1"/>
    <col min="3588" max="3588" width="32.28515625" style="18" bestFit="1" customWidth="1"/>
    <col min="3589" max="3589" width="28.42578125" style="18" bestFit="1" customWidth="1"/>
    <col min="3590" max="3842" width="9.140625" style="18"/>
    <col min="3843" max="3843" width="33" style="18" bestFit="1" customWidth="1"/>
    <col min="3844" max="3844" width="32.28515625" style="18" bestFit="1" customWidth="1"/>
    <col min="3845" max="3845" width="28.42578125" style="18" bestFit="1" customWidth="1"/>
    <col min="3846" max="4098" width="9.140625" style="18"/>
    <col min="4099" max="4099" width="33" style="18" bestFit="1" customWidth="1"/>
    <col min="4100" max="4100" width="32.28515625" style="18" bestFit="1" customWidth="1"/>
    <col min="4101" max="4101" width="28.42578125" style="18" bestFit="1" customWidth="1"/>
    <col min="4102" max="4354" width="9.140625" style="18"/>
    <col min="4355" max="4355" width="33" style="18" bestFit="1" customWidth="1"/>
    <col min="4356" max="4356" width="32.28515625" style="18" bestFit="1" customWidth="1"/>
    <col min="4357" max="4357" width="28.42578125" style="18" bestFit="1" customWidth="1"/>
    <col min="4358" max="4610" width="9.140625" style="18"/>
    <col min="4611" max="4611" width="33" style="18" bestFit="1" customWidth="1"/>
    <col min="4612" max="4612" width="32.28515625" style="18" bestFit="1" customWidth="1"/>
    <col min="4613" max="4613" width="28.42578125" style="18" bestFit="1" customWidth="1"/>
    <col min="4614" max="4866" width="9.140625" style="18"/>
    <col min="4867" max="4867" width="33" style="18" bestFit="1" customWidth="1"/>
    <col min="4868" max="4868" width="32.28515625" style="18" bestFit="1" customWidth="1"/>
    <col min="4869" max="4869" width="28.42578125" style="18" bestFit="1" customWidth="1"/>
    <col min="4870" max="5122" width="9.140625" style="18"/>
    <col min="5123" max="5123" width="33" style="18" bestFit="1" customWidth="1"/>
    <col min="5124" max="5124" width="32.28515625" style="18" bestFit="1" customWidth="1"/>
    <col min="5125" max="5125" width="28.42578125" style="18" bestFit="1" customWidth="1"/>
    <col min="5126" max="5378" width="9.140625" style="18"/>
    <col min="5379" max="5379" width="33" style="18" bestFit="1" customWidth="1"/>
    <col min="5380" max="5380" width="32.28515625" style="18" bestFit="1" customWidth="1"/>
    <col min="5381" max="5381" width="28.42578125" style="18" bestFit="1" customWidth="1"/>
    <col min="5382" max="5634" width="9.140625" style="18"/>
    <col min="5635" max="5635" width="33" style="18" bestFit="1" customWidth="1"/>
    <col min="5636" max="5636" width="32.28515625" style="18" bestFit="1" customWidth="1"/>
    <col min="5637" max="5637" width="28.42578125" style="18" bestFit="1" customWidth="1"/>
    <col min="5638" max="5890" width="9.140625" style="18"/>
    <col min="5891" max="5891" width="33" style="18" bestFit="1" customWidth="1"/>
    <col min="5892" max="5892" width="32.28515625" style="18" bestFit="1" customWidth="1"/>
    <col min="5893" max="5893" width="28.42578125" style="18" bestFit="1" customWidth="1"/>
    <col min="5894" max="6146" width="9.140625" style="18"/>
    <col min="6147" max="6147" width="33" style="18" bestFit="1" customWidth="1"/>
    <col min="6148" max="6148" width="32.28515625" style="18" bestFit="1" customWidth="1"/>
    <col min="6149" max="6149" width="28.42578125" style="18" bestFit="1" customWidth="1"/>
    <col min="6150" max="6402" width="9.140625" style="18"/>
    <col min="6403" max="6403" width="33" style="18" bestFit="1" customWidth="1"/>
    <col min="6404" max="6404" width="32.28515625" style="18" bestFit="1" customWidth="1"/>
    <col min="6405" max="6405" width="28.42578125" style="18" bestFit="1" customWidth="1"/>
    <col min="6406" max="6658" width="9.140625" style="18"/>
    <col min="6659" max="6659" width="33" style="18" bestFit="1" customWidth="1"/>
    <col min="6660" max="6660" width="32.28515625" style="18" bestFit="1" customWidth="1"/>
    <col min="6661" max="6661" width="28.42578125" style="18" bestFit="1" customWidth="1"/>
    <col min="6662" max="6914" width="9.140625" style="18"/>
    <col min="6915" max="6915" width="33" style="18" bestFit="1" customWidth="1"/>
    <col min="6916" max="6916" width="32.28515625" style="18" bestFit="1" customWidth="1"/>
    <col min="6917" max="6917" width="28.42578125" style="18" bestFit="1" customWidth="1"/>
    <col min="6918" max="7170" width="9.140625" style="18"/>
    <col min="7171" max="7171" width="33" style="18" bestFit="1" customWidth="1"/>
    <col min="7172" max="7172" width="32.28515625" style="18" bestFit="1" customWidth="1"/>
    <col min="7173" max="7173" width="28.42578125" style="18" bestFit="1" customWidth="1"/>
    <col min="7174" max="7426" width="9.140625" style="18"/>
    <col min="7427" max="7427" width="33" style="18" bestFit="1" customWidth="1"/>
    <col min="7428" max="7428" width="32.28515625" style="18" bestFit="1" customWidth="1"/>
    <col min="7429" max="7429" width="28.42578125" style="18" bestFit="1" customWidth="1"/>
    <col min="7430" max="7682" width="9.140625" style="18"/>
    <col min="7683" max="7683" width="33" style="18" bestFit="1" customWidth="1"/>
    <col min="7684" max="7684" width="32.28515625" style="18" bestFit="1" customWidth="1"/>
    <col min="7685" max="7685" width="28.42578125" style="18" bestFit="1" customWidth="1"/>
    <col min="7686" max="7938" width="9.140625" style="18"/>
    <col min="7939" max="7939" width="33" style="18" bestFit="1" customWidth="1"/>
    <col min="7940" max="7940" width="32.28515625" style="18" bestFit="1" customWidth="1"/>
    <col min="7941" max="7941" width="28.42578125" style="18" bestFit="1" customWidth="1"/>
    <col min="7942" max="8194" width="9.140625" style="18"/>
    <col min="8195" max="8195" width="33" style="18" bestFit="1" customWidth="1"/>
    <col min="8196" max="8196" width="32.28515625" style="18" bestFit="1" customWidth="1"/>
    <col min="8197" max="8197" width="28.42578125" style="18" bestFit="1" customWidth="1"/>
    <col min="8198" max="8450" width="9.140625" style="18"/>
    <col min="8451" max="8451" width="33" style="18" bestFit="1" customWidth="1"/>
    <col min="8452" max="8452" width="32.28515625" style="18" bestFit="1" customWidth="1"/>
    <col min="8453" max="8453" width="28.42578125" style="18" bestFit="1" customWidth="1"/>
    <col min="8454" max="8706" width="9.140625" style="18"/>
    <col min="8707" max="8707" width="33" style="18" bestFit="1" customWidth="1"/>
    <col min="8708" max="8708" width="32.28515625" style="18" bestFit="1" customWidth="1"/>
    <col min="8709" max="8709" width="28.42578125" style="18" bestFit="1" customWidth="1"/>
    <col min="8710" max="8962" width="9.140625" style="18"/>
    <col min="8963" max="8963" width="33" style="18" bestFit="1" customWidth="1"/>
    <col min="8964" max="8964" width="32.28515625" style="18" bestFit="1" customWidth="1"/>
    <col min="8965" max="8965" width="28.42578125" style="18" bestFit="1" customWidth="1"/>
    <col min="8966" max="9218" width="9.140625" style="18"/>
    <col min="9219" max="9219" width="33" style="18" bestFit="1" customWidth="1"/>
    <col min="9220" max="9220" width="32.28515625" style="18" bestFit="1" customWidth="1"/>
    <col min="9221" max="9221" width="28.42578125" style="18" bestFit="1" customWidth="1"/>
    <col min="9222" max="9474" width="9.140625" style="18"/>
    <col min="9475" max="9475" width="33" style="18" bestFit="1" customWidth="1"/>
    <col min="9476" max="9476" width="32.28515625" style="18" bestFit="1" customWidth="1"/>
    <col min="9477" max="9477" width="28.42578125" style="18" bestFit="1" customWidth="1"/>
    <col min="9478" max="9730" width="9.140625" style="18"/>
    <col min="9731" max="9731" width="33" style="18" bestFit="1" customWidth="1"/>
    <col min="9732" max="9732" width="32.28515625" style="18" bestFit="1" customWidth="1"/>
    <col min="9733" max="9733" width="28.42578125" style="18" bestFit="1" customWidth="1"/>
    <col min="9734" max="9986" width="9.140625" style="18"/>
    <col min="9987" max="9987" width="33" style="18" bestFit="1" customWidth="1"/>
    <col min="9988" max="9988" width="32.28515625" style="18" bestFit="1" customWidth="1"/>
    <col min="9989" max="9989" width="28.42578125" style="18" bestFit="1" customWidth="1"/>
    <col min="9990" max="10242" width="9.140625" style="18"/>
    <col min="10243" max="10243" width="33" style="18" bestFit="1" customWidth="1"/>
    <col min="10244" max="10244" width="32.28515625" style="18" bestFit="1" customWidth="1"/>
    <col min="10245" max="10245" width="28.42578125" style="18" bestFit="1" customWidth="1"/>
    <col min="10246" max="10498" width="9.140625" style="18"/>
    <col min="10499" max="10499" width="33" style="18" bestFit="1" customWidth="1"/>
    <col min="10500" max="10500" width="32.28515625" style="18" bestFit="1" customWidth="1"/>
    <col min="10501" max="10501" width="28.42578125" style="18" bestFit="1" customWidth="1"/>
    <col min="10502" max="10754" width="9.140625" style="18"/>
    <col min="10755" max="10755" width="33" style="18" bestFit="1" customWidth="1"/>
    <col min="10756" max="10756" width="32.28515625" style="18" bestFit="1" customWidth="1"/>
    <col min="10757" max="10757" width="28.42578125" style="18" bestFit="1" customWidth="1"/>
    <col min="10758" max="11010" width="9.140625" style="18"/>
    <col min="11011" max="11011" width="33" style="18" bestFit="1" customWidth="1"/>
    <col min="11012" max="11012" width="32.28515625" style="18" bestFit="1" customWidth="1"/>
    <col min="11013" max="11013" width="28.42578125" style="18" bestFit="1" customWidth="1"/>
    <col min="11014" max="11266" width="9.140625" style="18"/>
    <col min="11267" max="11267" width="33" style="18" bestFit="1" customWidth="1"/>
    <col min="11268" max="11268" width="32.28515625" style="18" bestFit="1" customWidth="1"/>
    <col min="11269" max="11269" width="28.42578125" style="18" bestFit="1" customWidth="1"/>
    <col min="11270" max="11522" width="9.140625" style="18"/>
    <col min="11523" max="11523" width="33" style="18" bestFit="1" customWidth="1"/>
    <col min="11524" max="11524" width="32.28515625" style="18" bestFit="1" customWidth="1"/>
    <col min="11525" max="11525" width="28.42578125" style="18" bestFit="1" customWidth="1"/>
    <col min="11526" max="11778" width="9.140625" style="18"/>
    <col min="11779" max="11779" width="33" style="18" bestFit="1" customWidth="1"/>
    <col min="11780" max="11780" width="32.28515625" style="18" bestFit="1" customWidth="1"/>
    <col min="11781" max="11781" width="28.42578125" style="18" bestFit="1" customWidth="1"/>
    <col min="11782" max="12034" width="9.140625" style="18"/>
    <col min="12035" max="12035" width="33" style="18" bestFit="1" customWidth="1"/>
    <col min="12036" max="12036" width="32.28515625" style="18" bestFit="1" customWidth="1"/>
    <col min="12037" max="12037" width="28.42578125" style="18" bestFit="1" customWidth="1"/>
    <col min="12038" max="12290" width="9.140625" style="18"/>
    <col min="12291" max="12291" width="33" style="18" bestFit="1" customWidth="1"/>
    <col min="12292" max="12292" width="32.28515625" style="18" bestFit="1" customWidth="1"/>
    <col min="12293" max="12293" width="28.42578125" style="18" bestFit="1" customWidth="1"/>
    <col min="12294" max="12546" width="9.140625" style="18"/>
    <col min="12547" max="12547" width="33" style="18" bestFit="1" customWidth="1"/>
    <col min="12548" max="12548" width="32.28515625" style="18" bestFit="1" customWidth="1"/>
    <col min="12549" max="12549" width="28.42578125" style="18" bestFit="1" customWidth="1"/>
    <col min="12550" max="12802" width="9.140625" style="18"/>
    <col min="12803" max="12803" width="33" style="18" bestFit="1" customWidth="1"/>
    <col min="12804" max="12804" width="32.28515625" style="18" bestFit="1" customWidth="1"/>
    <col min="12805" max="12805" width="28.42578125" style="18" bestFit="1" customWidth="1"/>
    <col min="12806" max="13058" width="9.140625" style="18"/>
    <col min="13059" max="13059" width="33" style="18" bestFit="1" customWidth="1"/>
    <col min="13060" max="13060" width="32.28515625" style="18" bestFit="1" customWidth="1"/>
    <col min="13061" max="13061" width="28.42578125" style="18" bestFit="1" customWidth="1"/>
    <col min="13062" max="13314" width="9.140625" style="18"/>
    <col min="13315" max="13315" width="33" style="18" bestFit="1" customWidth="1"/>
    <col min="13316" max="13316" width="32.28515625" style="18" bestFit="1" customWidth="1"/>
    <col min="13317" max="13317" width="28.42578125" style="18" bestFit="1" customWidth="1"/>
    <col min="13318" max="13570" width="9.140625" style="18"/>
    <col min="13571" max="13571" width="33" style="18" bestFit="1" customWidth="1"/>
    <col min="13572" max="13572" width="32.28515625" style="18" bestFit="1" customWidth="1"/>
    <col min="13573" max="13573" width="28.42578125" style="18" bestFit="1" customWidth="1"/>
    <col min="13574" max="13826" width="9.140625" style="18"/>
    <col min="13827" max="13827" width="33" style="18" bestFit="1" customWidth="1"/>
    <col min="13828" max="13828" width="32.28515625" style="18" bestFit="1" customWidth="1"/>
    <col min="13829" max="13829" width="28.42578125" style="18" bestFit="1" customWidth="1"/>
    <col min="13830" max="14082" width="9.140625" style="18"/>
    <col min="14083" max="14083" width="33" style="18" bestFit="1" customWidth="1"/>
    <col min="14084" max="14084" width="32.28515625" style="18" bestFit="1" customWidth="1"/>
    <col min="14085" max="14085" width="28.42578125" style="18" bestFit="1" customWidth="1"/>
    <col min="14086" max="14338" width="9.140625" style="18"/>
    <col min="14339" max="14339" width="33" style="18" bestFit="1" customWidth="1"/>
    <col min="14340" max="14340" width="32.28515625" style="18" bestFit="1" customWidth="1"/>
    <col min="14341" max="14341" width="28.42578125" style="18" bestFit="1" customWidth="1"/>
    <col min="14342" max="14594" width="9.140625" style="18"/>
    <col min="14595" max="14595" width="33" style="18" bestFit="1" customWidth="1"/>
    <col min="14596" max="14596" width="32.28515625" style="18" bestFit="1" customWidth="1"/>
    <col min="14597" max="14597" width="28.42578125" style="18" bestFit="1" customWidth="1"/>
    <col min="14598" max="14850" width="9.140625" style="18"/>
    <col min="14851" max="14851" width="33" style="18" bestFit="1" customWidth="1"/>
    <col min="14852" max="14852" width="32.28515625" style="18" bestFit="1" customWidth="1"/>
    <col min="14853" max="14853" width="28.42578125" style="18" bestFit="1" customWidth="1"/>
    <col min="14854" max="15106" width="9.140625" style="18"/>
    <col min="15107" max="15107" width="33" style="18" bestFit="1" customWidth="1"/>
    <col min="15108" max="15108" width="32.28515625" style="18" bestFit="1" customWidth="1"/>
    <col min="15109" max="15109" width="28.42578125" style="18" bestFit="1" customWidth="1"/>
    <col min="15110" max="15362" width="9.140625" style="18"/>
    <col min="15363" max="15363" width="33" style="18" bestFit="1" customWidth="1"/>
    <col min="15364" max="15364" width="32.28515625" style="18" bestFit="1" customWidth="1"/>
    <col min="15365" max="15365" width="28.42578125" style="18" bestFit="1" customWidth="1"/>
    <col min="15366" max="15618" width="9.140625" style="18"/>
    <col min="15619" max="15619" width="33" style="18" bestFit="1" customWidth="1"/>
    <col min="15620" max="15620" width="32.28515625" style="18" bestFit="1" customWidth="1"/>
    <col min="15621" max="15621" width="28.42578125" style="18" bestFit="1" customWidth="1"/>
    <col min="15622" max="15874" width="9.140625" style="18"/>
    <col min="15875" max="15875" width="33" style="18" bestFit="1" customWidth="1"/>
    <col min="15876" max="15876" width="32.28515625" style="18" bestFit="1" customWidth="1"/>
    <col min="15877" max="15877" width="28.42578125" style="18" bestFit="1" customWidth="1"/>
    <col min="15878" max="16130" width="9.140625" style="18"/>
    <col min="16131" max="16131" width="33" style="18" bestFit="1" customWidth="1"/>
    <col min="16132" max="16132" width="32.28515625" style="18" bestFit="1" customWidth="1"/>
    <col min="16133" max="16133" width="28.42578125" style="18" bestFit="1" customWidth="1"/>
    <col min="16134" max="16384" width="9.140625" style="18"/>
  </cols>
  <sheetData>
    <row r="1" spans="1:13" x14ac:dyDescent="0.25">
      <c r="A1" s="140" t="s">
        <v>32</v>
      </c>
      <c r="B1" s="138" t="s">
        <v>59</v>
      </c>
      <c r="C1" s="142" t="s">
        <v>17</v>
      </c>
      <c r="D1" s="143"/>
      <c r="E1" s="138" t="s">
        <v>20</v>
      </c>
      <c r="F1" s="138" t="s">
        <v>21</v>
      </c>
      <c r="G1" s="136" t="s">
        <v>25</v>
      </c>
      <c r="H1" s="136"/>
      <c r="I1" s="136"/>
      <c r="J1" s="136"/>
      <c r="K1" s="136"/>
      <c r="L1" s="136"/>
      <c r="M1" s="137"/>
    </row>
    <row r="2" spans="1:13" ht="16.5" thickBot="1" x14ac:dyDescent="0.3">
      <c r="A2" s="141"/>
      <c r="B2" s="139"/>
      <c r="C2" s="144"/>
      <c r="D2" s="145"/>
      <c r="E2" s="139"/>
      <c r="F2" s="139"/>
      <c r="G2" s="107" t="s">
        <v>27</v>
      </c>
      <c r="H2" s="107" t="s">
        <v>23</v>
      </c>
      <c r="I2" s="107" t="s">
        <v>24</v>
      </c>
      <c r="J2" s="107" t="s">
        <v>29</v>
      </c>
      <c r="K2" s="79" t="s">
        <v>30</v>
      </c>
      <c r="L2" s="79"/>
      <c r="M2" s="80"/>
    </row>
    <row r="3" spans="1:13" ht="15" customHeight="1" x14ac:dyDescent="0.25">
      <c r="A3" s="114">
        <v>1</v>
      </c>
      <c r="B3" s="115" t="s">
        <v>1</v>
      </c>
      <c r="C3" s="123" t="str">
        <f>IF(ISNUMBER(A3),IF(ISERROR(MATCH(A3,Programa!#REF!,0)),"Nunca",(INDEX(Programa!$A:$A,12)-D3)/7&amp;" semanas"),"")</f>
        <v>Nunca</v>
      </c>
      <c r="D3" s="119" t="str">
        <f ca="1">IF(ISNUMBER(A3),IF(ISERROR(MATCH(A3,Programa!#REF!,0)),"",INDIRECT(ADDRESS(12+MATCH(A3,Programa!#REF!,0)-MOD(12+MATCH(A3,Programa!#REF!,0),12),1,,,"Programa"))),"")</f>
        <v/>
      </c>
      <c r="E3" s="116" t="s">
        <v>19</v>
      </c>
      <c r="F3" s="117" t="s">
        <v>22</v>
      </c>
      <c r="G3" s="118" t="s">
        <v>28</v>
      </c>
      <c r="H3" s="118"/>
      <c r="I3" s="118"/>
      <c r="J3" s="118"/>
      <c r="K3" s="118"/>
      <c r="L3" s="118"/>
      <c r="M3" s="118"/>
    </row>
    <row r="4" spans="1:13" ht="15" customHeight="1" x14ac:dyDescent="0.25">
      <c r="A4" s="108">
        <v>1</v>
      </c>
      <c r="B4" s="109" t="s">
        <v>60</v>
      </c>
      <c r="C4" s="124" t="str">
        <f>IF(ISNUMBER(A4),IF(ISERROR(MATCH(A4,Programa!#REF!,0)),"Nunca",(INDEX(Programa!$A:$A,12)-D4)/7&amp;" semanas"),"")</f>
        <v>Nunca</v>
      </c>
      <c r="D4" s="120" t="str">
        <f ca="1">IF(ISNUMBER(A4),IF(ISERROR(MATCH(A4,Programa!#REF!,0)),"",INDIRECT(ADDRESS(12+MATCH(A4,Programa!#REF!,0)-MOD(12+MATCH(A4,Programa!#REF!,0),12),1,,,"Programa"))),"")</f>
        <v/>
      </c>
      <c r="E4" s="110"/>
      <c r="F4" s="81"/>
      <c r="G4" s="82"/>
      <c r="H4" s="82"/>
      <c r="I4" s="82"/>
      <c r="J4" s="82"/>
      <c r="K4" s="82"/>
      <c r="L4" s="82"/>
      <c r="M4" s="82"/>
    </row>
    <row r="5" spans="1:13" ht="15" customHeight="1" x14ac:dyDescent="0.25">
      <c r="A5" s="108">
        <v>2</v>
      </c>
      <c r="B5" s="109" t="s">
        <v>61</v>
      </c>
      <c r="C5" s="124" t="str">
        <f>IF(ISNUMBER(A5),IF(ISERROR(MATCH(A5,Programa!#REF!,0)),"Nunca",(INDEX(Programa!$A:$A,12)-D5)/7&amp;" semanas"),"")</f>
        <v>Nunca</v>
      </c>
      <c r="D5" s="120" t="str">
        <f ca="1">IF(ISNUMBER(A5),IF(ISERROR(MATCH(A5,Programa!#REF!,0)),"",INDIRECT(ADDRESS(12+MATCH(A5,Programa!#REF!,0)-MOD(12+MATCH(A5,Programa!#REF!,0),12),1,,,"Programa"))),"")</f>
        <v/>
      </c>
      <c r="E5" s="110"/>
      <c r="F5" s="81"/>
      <c r="G5" s="82"/>
      <c r="H5" s="82"/>
      <c r="I5" s="82"/>
      <c r="J5" s="82"/>
      <c r="K5" s="82"/>
      <c r="L5" s="82"/>
      <c r="M5" s="82"/>
    </row>
    <row r="6" spans="1:13" ht="15" customHeight="1" x14ac:dyDescent="0.25">
      <c r="A6" s="108">
        <v>2</v>
      </c>
      <c r="B6" s="109" t="s">
        <v>62</v>
      </c>
      <c r="C6" s="124" t="str">
        <f>IF(ISNUMBER(A6),IF(ISERROR(MATCH(A6,Programa!#REF!,0)),"Nunca",(INDEX(Programa!$A:$A,12)-D6)/7&amp;" semanas"),"")</f>
        <v>Nunca</v>
      </c>
      <c r="D6" s="120" t="str">
        <f ca="1">IF(ISNUMBER(A6),IF(ISERROR(MATCH(A6,Programa!#REF!,0)),"",INDIRECT(ADDRESS(12+MATCH(A6,Programa!#REF!,0)-MOD(12+MATCH(A6,Programa!#REF!,0),12),1,,,"Programa"))),"")</f>
        <v/>
      </c>
      <c r="E6" s="110"/>
      <c r="F6" s="81"/>
      <c r="G6" s="82"/>
      <c r="H6" s="82"/>
      <c r="I6" s="82"/>
      <c r="J6" s="82"/>
      <c r="K6" s="82"/>
      <c r="L6" s="82"/>
      <c r="M6" s="82"/>
    </row>
    <row r="7" spans="1:13" ht="15" customHeight="1" x14ac:dyDescent="0.25">
      <c r="A7" s="108">
        <v>3</v>
      </c>
      <c r="B7" s="109" t="s">
        <v>63</v>
      </c>
      <c r="C7" s="124" t="str">
        <f>IF(ISNUMBER(A7),IF(ISERROR(MATCH(A7,Programa!#REF!,0)),"Nunca",(INDEX(Programa!$A:$A,12)-D7)/7&amp;" semanas"),"")</f>
        <v>Nunca</v>
      </c>
      <c r="D7" s="120" t="str">
        <f ca="1">IF(ISNUMBER(A7),IF(ISERROR(MATCH(A7,Programa!#REF!,0)),"",INDIRECT(ADDRESS(12+MATCH(A7,Programa!#REF!,0)-MOD(12+MATCH(A7,Programa!#REF!,0),12),1,,,"Programa"))),"")</f>
        <v/>
      </c>
      <c r="E7" s="110"/>
      <c r="F7" s="81"/>
      <c r="G7" s="82"/>
      <c r="H7" s="82"/>
      <c r="I7" s="82"/>
      <c r="J7" s="82"/>
      <c r="K7" s="82"/>
      <c r="L7" s="82"/>
      <c r="M7" s="82"/>
    </row>
    <row r="8" spans="1:13" ht="15" customHeight="1" x14ac:dyDescent="0.25">
      <c r="A8" s="108">
        <v>3</v>
      </c>
      <c r="B8" s="109" t="s">
        <v>64</v>
      </c>
      <c r="C8" s="124" t="str">
        <f>IF(ISNUMBER(A8),IF(ISERROR(MATCH(A8,Programa!#REF!,0)),"Nunca",(INDEX(Programa!$A:$A,12)-D8)/7&amp;" semanas"),"")</f>
        <v>Nunca</v>
      </c>
      <c r="D8" s="120" t="str">
        <f ca="1">IF(ISNUMBER(A8),IF(ISERROR(MATCH(A8,Programa!#REF!,0)),"",INDIRECT(ADDRESS(12+MATCH(A8,Programa!#REF!,0)-MOD(12+MATCH(A8,Programa!#REF!,0),12),1,,,"Programa"))),"")</f>
        <v/>
      </c>
      <c r="E8" s="110"/>
      <c r="F8" s="81"/>
      <c r="G8" s="111"/>
      <c r="H8" s="112"/>
      <c r="I8" s="82"/>
      <c r="J8" s="82"/>
      <c r="K8" s="82"/>
      <c r="L8" s="82"/>
      <c r="M8" s="82"/>
    </row>
    <row r="9" spans="1:13" ht="15" customHeight="1" x14ac:dyDescent="0.25">
      <c r="A9" s="108">
        <v>4</v>
      </c>
      <c r="B9" s="109" t="s">
        <v>65</v>
      </c>
      <c r="C9" s="124" t="str">
        <f>IF(ISNUMBER(A9),IF(ISERROR(MATCH(A9,Programa!#REF!,0)),"Nunca",(INDEX(Programa!$A:$A,12)-D9)/7&amp;" semanas"),"")</f>
        <v>Nunca</v>
      </c>
      <c r="D9" s="120" t="str">
        <f ca="1">IF(ISNUMBER(A9),IF(ISERROR(MATCH(A9,Programa!#REF!,0)),"",INDIRECT(ADDRESS(12+MATCH(A9,Programa!#REF!,0)-MOD(12+MATCH(A9,Programa!#REF!,0),12),1,,,"Programa"))),"")</f>
        <v/>
      </c>
      <c r="E9" s="110"/>
      <c r="F9" s="81"/>
      <c r="G9" s="111"/>
      <c r="H9" s="112"/>
      <c r="I9" s="82"/>
      <c r="J9" s="82"/>
      <c r="K9" s="82"/>
      <c r="L9" s="82"/>
      <c r="M9" s="82"/>
    </row>
    <row r="10" spans="1:13" ht="15" customHeight="1" x14ac:dyDescent="0.25">
      <c r="A10" s="108">
        <v>4</v>
      </c>
      <c r="B10" s="109" t="s">
        <v>66</v>
      </c>
      <c r="C10" s="124" t="str">
        <f>IF(ISNUMBER(A10),IF(ISERROR(MATCH(A10,Programa!#REF!,0)),"Nunca",(INDEX(Programa!$A:$A,12)-D10)/7&amp;" semanas"),"")</f>
        <v>Nunca</v>
      </c>
      <c r="D10" s="120" t="str">
        <f ca="1">IF(ISNUMBER(A10),IF(ISERROR(MATCH(A10,Programa!#REF!,0)),"",INDIRECT(ADDRESS(12+MATCH(A10,Programa!#REF!,0)-MOD(12+MATCH(A10,Programa!#REF!,0),12),1,,,"Programa"))),"")</f>
        <v/>
      </c>
      <c r="E10" s="110"/>
      <c r="F10" s="81"/>
      <c r="G10" s="111"/>
      <c r="H10" s="112"/>
      <c r="I10" s="82"/>
      <c r="J10" s="82"/>
      <c r="K10" s="82"/>
      <c r="L10" s="82"/>
      <c r="M10" s="82"/>
    </row>
    <row r="11" spans="1:13" ht="15" customHeight="1" x14ac:dyDescent="0.25">
      <c r="A11" s="108">
        <v>5</v>
      </c>
      <c r="B11" s="109" t="s">
        <v>67</v>
      </c>
      <c r="C11" s="124" t="str">
        <f>IF(ISNUMBER(A11),IF(ISERROR(MATCH(A11,Programa!#REF!,0)),"Nunca",(INDEX(Programa!$A:$A,12)-D11)/7&amp;" semanas"),"")</f>
        <v>Nunca</v>
      </c>
      <c r="D11" s="120" t="str">
        <f ca="1">IF(ISNUMBER(A11),IF(ISERROR(MATCH(A11,Programa!#REF!,0)),"",INDIRECT(ADDRESS(12+MATCH(A11,Programa!#REF!,0)-MOD(12+MATCH(A11,Programa!#REF!,0),12),1,,,"Programa"))),"")</f>
        <v/>
      </c>
      <c r="E11" s="110"/>
      <c r="F11" s="81"/>
      <c r="G11" s="111"/>
      <c r="H11" s="112"/>
      <c r="I11" s="82"/>
      <c r="J11" s="82"/>
      <c r="K11" s="82"/>
      <c r="L11" s="82"/>
      <c r="M11" s="82"/>
    </row>
    <row r="12" spans="1:13" ht="15" customHeight="1" x14ac:dyDescent="0.25">
      <c r="A12" s="108">
        <v>5</v>
      </c>
      <c r="B12" s="109" t="s">
        <v>68</v>
      </c>
      <c r="C12" s="124" t="str">
        <f>IF(ISNUMBER(A12),IF(ISERROR(MATCH(A12,Programa!#REF!,0)),"Nunca",(INDEX(Programa!$A:$A,12)-D12)/7&amp;" semanas"),"")</f>
        <v>Nunca</v>
      </c>
      <c r="D12" s="120" t="str">
        <f ca="1">IF(ISNUMBER(A12),IF(ISERROR(MATCH(A12,Programa!#REF!,0)),"",INDIRECT(ADDRESS(12+MATCH(A12,Programa!#REF!,0)-MOD(12+MATCH(A12,Programa!#REF!,0),12),1,,,"Programa"))),"")</f>
        <v/>
      </c>
      <c r="E12" s="110"/>
      <c r="F12" s="81"/>
      <c r="G12" s="82"/>
      <c r="H12" s="82"/>
      <c r="I12" s="82"/>
      <c r="J12" s="82"/>
      <c r="K12" s="82"/>
      <c r="L12" s="82"/>
      <c r="M12" s="82"/>
    </row>
    <row r="13" spans="1:13" ht="15" customHeight="1" x14ac:dyDescent="0.25">
      <c r="A13" s="108">
        <v>6</v>
      </c>
      <c r="B13" s="109" t="s">
        <v>69</v>
      </c>
      <c r="C13" s="124" t="str">
        <f>IF(ISNUMBER(A13),IF(ISERROR(MATCH(A13,Programa!#REF!,0)),"Nunca",(INDEX(Programa!$A:$A,12)-D13)/7&amp;" semanas"),"")</f>
        <v>Nunca</v>
      </c>
      <c r="D13" s="120" t="str">
        <f ca="1">IF(ISNUMBER(A13),IF(ISERROR(MATCH(A13,Programa!#REF!,0)),"",INDIRECT(ADDRESS(12+MATCH(A13,Programa!#REF!,0)-MOD(12+MATCH(A13,Programa!#REF!,0),12),1,,,"Programa"))),"")</f>
        <v/>
      </c>
      <c r="E13" s="110"/>
      <c r="F13" s="81"/>
      <c r="G13" s="82"/>
      <c r="H13" s="82"/>
      <c r="I13" s="82"/>
      <c r="J13" s="82"/>
      <c r="K13" s="82"/>
      <c r="L13" s="82"/>
      <c r="M13" s="82"/>
    </row>
    <row r="14" spans="1:13" ht="15" customHeight="1" x14ac:dyDescent="0.25">
      <c r="A14" s="108">
        <v>6</v>
      </c>
      <c r="B14" s="109" t="s">
        <v>70</v>
      </c>
      <c r="C14" s="124" t="str">
        <f>IF(ISNUMBER(A14),IF(ISERROR(MATCH(A14,Programa!#REF!,0)),"Nunca",(INDEX(Programa!$A:$A,12)-D14)/7&amp;" semanas"),"")</f>
        <v>Nunca</v>
      </c>
      <c r="D14" s="120" t="str">
        <f ca="1">IF(ISNUMBER(A14),IF(ISERROR(MATCH(A14,Programa!#REF!,0)),"",INDIRECT(ADDRESS(12+MATCH(A14,Programa!#REF!,0)-MOD(12+MATCH(A14,Programa!#REF!,0),12),1,,,"Programa"))),"")</f>
        <v/>
      </c>
      <c r="E14" s="110"/>
      <c r="F14" s="81"/>
      <c r="G14" s="82"/>
      <c r="H14" s="82"/>
      <c r="I14" s="82"/>
      <c r="J14" s="82"/>
      <c r="K14" s="82"/>
      <c r="L14" s="82"/>
      <c r="M14" s="82"/>
    </row>
    <row r="15" spans="1:13" ht="15" customHeight="1" x14ac:dyDescent="0.25">
      <c r="A15" s="108">
        <v>7</v>
      </c>
      <c r="B15" s="109" t="s">
        <v>71</v>
      </c>
      <c r="C15" s="124" t="str">
        <f>IF(ISNUMBER(A15),IF(ISERROR(MATCH(A15,Programa!#REF!,0)),"Nunca",(INDEX(Programa!$A:$A,12)-D15)/7&amp;" semanas"),"")</f>
        <v>Nunca</v>
      </c>
      <c r="D15" s="120" t="str">
        <f ca="1">IF(ISNUMBER(A15),IF(ISERROR(MATCH(A15,Programa!#REF!,0)),"",INDIRECT(ADDRESS(12+MATCH(A15,Programa!#REF!,0)-MOD(12+MATCH(A15,Programa!#REF!,0),12),1,,,"Programa"))),"")</f>
        <v/>
      </c>
      <c r="E15" s="110"/>
      <c r="F15" s="81"/>
      <c r="G15" s="82"/>
      <c r="H15" s="82"/>
      <c r="I15" s="82"/>
      <c r="J15" s="82"/>
      <c r="K15" s="82"/>
      <c r="L15" s="82"/>
      <c r="M15" s="82"/>
    </row>
    <row r="16" spans="1:13" ht="15" customHeight="1" x14ac:dyDescent="0.25">
      <c r="A16" s="108">
        <v>7</v>
      </c>
      <c r="B16" s="109" t="s">
        <v>72</v>
      </c>
      <c r="C16" s="124" t="str">
        <f>IF(ISNUMBER(A16),IF(ISERROR(MATCH(A16,Programa!#REF!,0)),"Nunca",(INDEX(Programa!$A:$A,12)-D16)/7&amp;" semanas"),"")</f>
        <v>Nunca</v>
      </c>
      <c r="D16" s="120" t="str">
        <f ca="1">IF(ISNUMBER(A16),IF(ISERROR(MATCH(A16,Programa!#REF!,0)),"",INDIRECT(ADDRESS(12+MATCH(A16,Programa!#REF!,0)-MOD(12+MATCH(A16,Programa!#REF!,0),12),1,,,"Programa"))),"")</f>
        <v/>
      </c>
      <c r="E16" s="110"/>
      <c r="F16" s="81"/>
      <c r="G16" s="82"/>
      <c r="H16" s="82"/>
      <c r="I16" s="82"/>
      <c r="J16" s="82"/>
      <c r="K16" s="82"/>
      <c r="L16" s="82"/>
      <c r="M16" s="82"/>
    </row>
    <row r="17" spans="1:13" ht="15" customHeight="1" x14ac:dyDescent="0.25">
      <c r="A17" s="108">
        <v>8</v>
      </c>
      <c r="B17" s="109" t="s">
        <v>73</v>
      </c>
      <c r="C17" s="124" t="str">
        <f>IF(ISNUMBER(A17),IF(ISERROR(MATCH(A17,Programa!#REF!,0)),"Nunca",(INDEX(Programa!$A:$A,12)-D17)/7&amp;" semanas"),"")</f>
        <v>Nunca</v>
      </c>
      <c r="D17" s="120" t="str">
        <f ca="1">IF(ISNUMBER(A17),IF(ISERROR(MATCH(A17,Programa!#REF!,0)),"",INDIRECT(ADDRESS(12+MATCH(A17,Programa!#REF!,0)-MOD(12+MATCH(A17,Programa!#REF!,0),12),1,,,"Programa"))),"")</f>
        <v/>
      </c>
      <c r="E17" s="110"/>
      <c r="F17" s="81"/>
      <c r="G17" s="82"/>
      <c r="H17" s="82"/>
      <c r="I17" s="82"/>
      <c r="J17" s="82"/>
      <c r="K17" s="82"/>
      <c r="L17" s="82"/>
      <c r="M17" s="82"/>
    </row>
    <row r="18" spans="1:13" ht="15" customHeight="1" x14ac:dyDescent="0.25">
      <c r="A18" s="108">
        <v>9</v>
      </c>
      <c r="B18" s="109" t="s">
        <v>74</v>
      </c>
      <c r="C18" s="124" t="str">
        <f>IF(ISNUMBER(A18),IF(ISERROR(MATCH(A18,Programa!#REF!,0)),"Nunca",(INDEX(Programa!$A:$A,12)-D18)/7&amp;" semanas"),"")</f>
        <v>Nunca</v>
      </c>
      <c r="D18" s="120" t="str">
        <f ca="1">IF(ISNUMBER(A18),IF(ISERROR(MATCH(A18,Programa!#REF!,0)),"",INDIRECT(ADDRESS(12+MATCH(A18,Programa!#REF!,0)-MOD(12+MATCH(A18,Programa!#REF!,0),12),1,,,"Programa"))),"")</f>
        <v/>
      </c>
      <c r="E18" s="110"/>
      <c r="F18" s="81"/>
      <c r="G18" s="82"/>
      <c r="H18" s="82"/>
      <c r="I18" s="82"/>
      <c r="J18" s="82"/>
      <c r="K18" s="82"/>
      <c r="L18" s="82"/>
      <c r="M18" s="82"/>
    </row>
    <row r="19" spans="1:13" ht="15" customHeight="1" x14ac:dyDescent="0.25">
      <c r="A19" s="108">
        <v>9</v>
      </c>
      <c r="B19" s="109" t="s">
        <v>75</v>
      </c>
      <c r="C19" s="125" t="str">
        <f>IF(ISNUMBER(A19),IF(ISERROR(MATCH(A19,Programa!#REF!,0)),"Nunca",(INDEX(Programa!$A:$A,12)-D19)/7&amp;" semanas"),"")</f>
        <v>Nunca</v>
      </c>
      <c r="D19" s="121" t="str">
        <f ca="1">IF(ISNUMBER(A19),IF(ISERROR(MATCH(A19,Programa!#REF!,0)),"",INDIRECT(ADDRESS(12+MATCH(A19,Programa!#REF!,0)-MOD(12+MATCH(A19,Programa!#REF!,0),12),1,,,"Programa"))),"")</f>
        <v/>
      </c>
      <c r="E19" s="110"/>
      <c r="F19" s="81"/>
      <c r="G19" s="82"/>
      <c r="H19" s="82"/>
      <c r="I19" s="82"/>
      <c r="J19" s="82"/>
      <c r="K19" s="82"/>
      <c r="L19" s="82"/>
      <c r="M19" s="82"/>
    </row>
    <row r="20" spans="1:13" ht="15" customHeight="1" x14ac:dyDescent="0.25">
      <c r="A20" s="108">
        <v>10</v>
      </c>
      <c r="B20" s="109" t="s">
        <v>76</v>
      </c>
      <c r="C20" s="125" t="str">
        <f>IF(ISNUMBER(A20),IF(ISERROR(MATCH(A20,Programa!#REF!,0)),"Nunca",(INDEX(Programa!$A:$A,12)-D20)/7&amp;" semanas"),"")</f>
        <v>Nunca</v>
      </c>
      <c r="D20" s="121" t="str">
        <f ca="1">IF(ISNUMBER(A20),IF(ISERROR(MATCH(A20,Programa!#REF!,0)),"",INDIRECT(ADDRESS(12+MATCH(A20,Programa!#REF!,0)-MOD(12+MATCH(A20,Programa!#REF!,0),12),1,,,"Programa"))),"")</f>
        <v/>
      </c>
      <c r="E20" s="110"/>
      <c r="F20" s="81"/>
      <c r="G20" s="82"/>
      <c r="H20" s="82"/>
      <c r="I20" s="82"/>
      <c r="J20" s="82"/>
      <c r="K20" s="82"/>
      <c r="L20" s="82"/>
      <c r="M20" s="82"/>
    </row>
    <row r="21" spans="1:13" ht="15" customHeight="1" x14ac:dyDescent="0.25">
      <c r="A21" s="108">
        <v>10</v>
      </c>
      <c r="B21" s="109" t="s">
        <v>77</v>
      </c>
      <c r="C21" s="125" t="str">
        <f>IF(ISNUMBER(A21),IF(ISERROR(MATCH(A21,Programa!#REF!,0)),"Nunca",(INDEX(Programa!$A:$A,12)-D21)/7&amp;" semanas"),"")</f>
        <v>Nunca</v>
      </c>
      <c r="D21" s="121" t="str">
        <f ca="1">IF(ISNUMBER(A21),IF(ISERROR(MATCH(A21,Programa!#REF!,0)),"",INDIRECT(ADDRESS(12+MATCH(A21,Programa!#REF!,0)-MOD(12+MATCH(A21,Programa!#REF!,0),12),1,,,"Programa"))),"")</f>
        <v/>
      </c>
      <c r="E21" s="110"/>
      <c r="F21" s="81"/>
      <c r="G21" s="82"/>
      <c r="H21" s="82"/>
      <c r="I21" s="82"/>
      <c r="J21" s="82"/>
      <c r="K21" s="82"/>
      <c r="L21" s="82"/>
      <c r="M21" s="82"/>
    </row>
    <row r="22" spans="1:13" ht="15" customHeight="1" x14ac:dyDescent="0.25">
      <c r="A22" s="108">
        <v>11</v>
      </c>
      <c r="B22" s="109" t="s">
        <v>78</v>
      </c>
      <c r="C22" s="125" t="str">
        <f>IF(ISNUMBER(A22),IF(ISERROR(MATCH(A22,Programa!#REF!,0)),"Nunca",(INDEX(Programa!$A:$A,12)-D22)/7&amp;" semanas"),"")</f>
        <v>Nunca</v>
      </c>
      <c r="D22" s="121" t="str">
        <f ca="1">IF(ISNUMBER(A22),IF(ISERROR(MATCH(A22,Programa!#REF!,0)),"",INDIRECT(ADDRESS(12+MATCH(A22,Programa!#REF!,0)-MOD(12+MATCH(A22,Programa!#REF!,0),12),1,,,"Programa"))),"")</f>
        <v/>
      </c>
      <c r="E22" s="110"/>
      <c r="F22" s="81"/>
      <c r="G22" s="82"/>
      <c r="H22" s="82"/>
      <c r="I22" s="82"/>
      <c r="J22" s="82"/>
      <c r="K22" s="82"/>
      <c r="L22" s="82"/>
      <c r="M22" s="82"/>
    </row>
    <row r="23" spans="1:13" ht="15" customHeight="1" x14ac:dyDescent="0.25">
      <c r="A23" s="108">
        <v>11</v>
      </c>
      <c r="B23" s="109" t="s">
        <v>79</v>
      </c>
      <c r="C23" s="125" t="str">
        <f>IF(ISNUMBER(A23),IF(ISERROR(MATCH(A23,Programa!#REF!,0)),"Nunca",(INDEX(Programa!$A:$A,12)-D23)/7&amp;" semanas"),"")</f>
        <v>Nunca</v>
      </c>
      <c r="D23" s="121" t="str">
        <f ca="1">IF(ISNUMBER(A23),IF(ISERROR(MATCH(A23,Programa!#REF!,0)),"",INDIRECT(ADDRESS(12+MATCH(A23,Programa!#REF!,0)-MOD(12+MATCH(A23,Programa!#REF!,0),12),1,,,"Programa"))),"")</f>
        <v/>
      </c>
      <c r="E23" s="110"/>
      <c r="F23" s="81"/>
      <c r="G23" s="82"/>
      <c r="H23" s="82"/>
      <c r="I23" s="82"/>
      <c r="J23" s="82"/>
      <c r="K23" s="82"/>
      <c r="L23" s="82"/>
      <c r="M23" s="82"/>
    </row>
    <row r="24" spans="1:13" ht="15" customHeight="1" x14ac:dyDescent="0.25">
      <c r="A24" s="108">
        <v>12</v>
      </c>
      <c r="B24" s="109" t="s">
        <v>80</v>
      </c>
      <c r="C24" s="125" t="str">
        <f>IF(ISNUMBER(A24),IF(ISERROR(MATCH(A24,Programa!#REF!,0)),"Nunca",(INDEX(Programa!$A:$A,12)-D24)/7&amp;" semanas"),"")</f>
        <v>Nunca</v>
      </c>
      <c r="D24" s="121" t="str">
        <f ca="1">IF(ISNUMBER(A24),IF(ISERROR(MATCH(A24,Programa!#REF!,0)),"",INDIRECT(ADDRESS(12+MATCH(A24,Programa!#REF!,0)-MOD(12+MATCH(A24,Programa!#REF!,0),12),1,,,"Programa"))),"")</f>
        <v/>
      </c>
      <c r="E24" s="110"/>
      <c r="F24" s="81"/>
      <c r="G24" s="82"/>
      <c r="H24" s="82"/>
      <c r="I24" s="82"/>
      <c r="J24" s="82"/>
      <c r="K24" s="82"/>
      <c r="L24" s="82"/>
      <c r="M24" s="82"/>
    </row>
    <row r="25" spans="1:13" ht="15" customHeight="1" x14ac:dyDescent="0.25">
      <c r="A25" s="108">
        <v>12</v>
      </c>
      <c r="B25" s="109" t="s">
        <v>81</v>
      </c>
      <c r="C25" s="125" t="str">
        <f>IF(ISNUMBER(A25),IF(ISERROR(MATCH(A25,Programa!#REF!,0)),"Nunca",(INDEX(Programa!$A:$A,12)-D25)/7&amp;" semanas"),"")</f>
        <v>Nunca</v>
      </c>
      <c r="D25" s="121" t="str">
        <f ca="1">IF(ISNUMBER(A25),IF(ISERROR(MATCH(A25,Programa!#REF!,0)),"",INDIRECT(ADDRESS(12+MATCH(A25,Programa!#REF!,0)-MOD(12+MATCH(A25,Programa!#REF!,0),12),1,,,"Programa"))),"")</f>
        <v/>
      </c>
      <c r="E25" s="110"/>
      <c r="F25" s="81"/>
      <c r="G25" s="82"/>
      <c r="H25" s="82"/>
      <c r="I25" s="82"/>
      <c r="J25" s="82"/>
      <c r="K25" s="82"/>
      <c r="L25" s="82"/>
      <c r="M25" s="82"/>
    </row>
    <row r="26" spans="1:13" ht="15" customHeight="1" x14ac:dyDescent="0.25">
      <c r="A26" s="108">
        <v>13</v>
      </c>
      <c r="B26" s="109" t="s">
        <v>82</v>
      </c>
      <c r="C26" s="125" t="str">
        <f>IF(ISNUMBER(A26),IF(ISERROR(MATCH(A26,Programa!#REF!,0)),"Nunca",(INDEX(Programa!$A:$A,12)-D26)/7&amp;" semanas"),"")</f>
        <v>Nunca</v>
      </c>
      <c r="D26" s="121" t="str">
        <f ca="1">IF(ISNUMBER(A26),IF(ISERROR(MATCH(A26,Programa!#REF!,0)),"",INDIRECT(ADDRESS(12+MATCH(A26,Programa!#REF!,0)-MOD(12+MATCH(A26,Programa!#REF!,0),12),1,,,"Programa"))),"")</f>
        <v/>
      </c>
      <c r="E26" s="110"/>
      <c r="F26" s="81"/>
      <c r="G26" s="82"/>
      <c r="H26" s="82"/>
      <c r="I26" s="82"/>
      <c r="J26" s="82"/>
      <c r="K26" s="82"/>
      <c r="L26" s="82"/>
      <c r="M26" s="82"/>
    </row>
    <row r="27" spans="1:13" ht="15" customHeight="1" x14ac:dyDescent="0.25">
      <c r="A27" s="108">
        <v>13</v>
      </c>
      <c r="B27" s="109" t="s">
        <v>83</v>
      </c>
      <c r="C27" s="125" t="str">
        <f>IF(ISNUMBER(A27),IF(ISERROR(MATCH(A27,Programa!#REF!,0)),"Nunca",(INDEX(Programa!$A:$A,12)-D27)/7&amp;" semanas"),"")</f>
        <v>Nunca</v>
      </c>
      <c r="D27" s="121" t="str">
        <f ca="1">IF(ISNUMBER(A27),IF(ISERROR(MATCH(A27,Programa!#REF!,0)),"",INDIRECT(ADDRESS(12+MATCH(A27,Programa!#REF!,0)-MOD(12+MATCH(A27,Programa!#REF!,0),12),1,,,"Programa"))),"")</f>
        <v/>
      </c>
      <c r="E27" s="110"/>
      <c r="F27" s="81"/>
      <c r="G27" s="82"/>
      <c r="H27" s="82"/>
      <c r="I27" s="82"/>
      <c r="J27" s="82"/>
      <c r="K27" s="82"/>
      <c r="L27" s="82"/>
      <c r="M27" s="82"/>
    </row>
    <row r="28" spans="1:13" ht="15" customHeight="1" x14ac:dyDescent="0.25">
      <c r="A28" s="108">
        <v>14</v>
      </c>
      <c r="B28" s="109" t="s">
        <v>84</v>
      </c>
      <c r="C28" s="125" t="str">
        <f>IF(ISNUMBER(A28),IF(ISERROR(MATCH(A28,Programa!#REF!,0)),"Nunca",(INDEX(Programa!$A:$A,12)-D28)/7&amp;" semanas"),"")</f>
        <v>Nunca</v>
      </c>
      <c r="D28" s="121" t="str">
        <f ca="1">IF(ISNUMBER(A28),IF(ISERROR(MATCH(A28,Programa!#REF!,0)),"",INDIRECT(ADDRESS(12+MATCH(A28,Programa!#REF!,0)-MOD(12+MATCH(A28,Programa!#REF!,0),12),1,,,"Programa"))),"")</f>
        <v/>
      </c>
      <c r="E28" s="110"/>
      <c r="F28" s="81"/>
      <c r="G28" s="82"/>
      <c r="H28" s="82"/>
      <c r="I28" s="82"/>
      <c r="J28" s="82"/>
      <c r="K28" s="82"/>
      <c r="L28" s="82"/>
      <c r="M28" s="82"/>
    </row>
    <row r="29" spans="1:13" ht="15" customHeight="1" x14ac:dyDescent="0.25">
      <c r="A29" s="108">
        <v>14</v>
      </c>
      <c r="B29" s="109" t="s">
        <v>85</v>
      </c>
      <c r="C29" s="125" t="str">
        <f>IF(ISNUMBER(A29),IF(ISERROR(MATCH(A29,Programa!#REF!,0)),"Nunca",(INDEX(Programa!$A:$A,12)-D29)/7&amp;" semanas"),"")</f>
        <v>Nunca</v>
      </c>
      <c r="D29" s="121" t="str">
        <f ca="1">IF(ISNUMBER(A29),IF(ISERROR(MATCH(A29,Programa!#REF!,0)),"",INDIRECT(ADDRESS(12+MATCH(A29,Programa!#REF!,0)-MOD(12+MATCH(A29,Programa!#REF!,0),12),1,,,"Programa"))),"")</f>
        <v/>
      </c>
      <c r="E29" s="110"/>
      <c r="F29" s="81"/>
      <c r="G29" s="82"/>
      <c r="H29" s="82"/>
      <c r="I29" s="82"/>
      <c r="J29" s="82"/>
      <c r="K29" s="82"/>
      <c r="L29" s="82"/>
      <c r="M29" s="82"/>
    </row>
    <row r="30" spans="1:13" ht="15" customHeight="1" x14ac:dyDescent="0.25">
      <c r="A30" s="108">
        <v>15</v>
      </c>
      <c r="B30" s="109" t="s">
        <v>86</v>
      </c>
      <c r="C30" s="125" t="str">
        <f>IF(ISNUMBER(A30),IF(ISERROR(MATCH(A30,Programa!#REF!,0)),"Nunca",(INDEX(Programa!$A:$A,12)-D30)/7&amp;" semanas"),"")</f>
        <v>Nunca</v>
      </c>
      <c r="D30" s="121" t="str">
        <f ca="1">IF(ISNUMBER(A30),IF(ISERROR(MATCH(A30,Programa!#REF!,0)),"",INDIRECT(ADDRESS(12+MATCH(A30,Programa!#REF!,0)-MOD(12+MATCH(A30,Programa!#REF!,0),12),1,,,"Programa"))),"")</f>
        <v/>
      </c>
      <c r="E30" s="110"/>
      <c r="F30" s="81"/>
      <c r="G30" s="82"/>
      <c r="H30" s="82"/>
      <c r="I30" s="82"/>
      <c r="J30" s="82"/>
      <c r="K30" s="82"/>
      <c r="L30" s="82"/>
      <c r="M30" s="82"/>
    </row>
    <row r="31" spans="1:13" ht="15" customHeight="1" x14ac:dyDescent="0.25">
      <c r="A31" s="108">
        <v>15</v>
      </c>
      <c r="B31" s="109" t="s">
        <v>87</v>
      </c>
      <c r="C31" s="125" t="str">
        <f>IF(ISNUMBER(A31),IF(ISERROR(MATCH(A31,Programa!#REF!,0)),"Nunca",(INDEX(Programa!$A:$A,12)-D31)/7&amp;" semanas"),"")</f>
        <v>Nunca</v>
      </c>
      <c r="D31" s="121" t="str">
        <f ca="1">IF(ISNUMBER(A31),IF(ISERROR(MATCH(A31,Programa!#REF!,0)),"",INDIRECT(ADDRESS(12+MATCH(A31,Programa!#REF!,0)-MOD(12+MATCH(A31,Programa!#REF!,0),12),1,,,"Programa"))),"")</f>
        <v/>
      </c>
      <c r="E31" s="110"/>
      <c r="F31" s="81"/>
      <c r="G31" s="82"/>
      <c r="H31" s="82"/>
      <c r="I31" s="82"/>
      <c r="J31" s="82"/>
      <c r="K31" s="82"/>
      <c r="L31" s="82"/>
      <c r="M31" s="82"/>
    </row>
    <row r="32" spans="1:13" ht="15" customHeight="1" x14ac:dyDescent="0.25">
      <c r="A32" s="108">
        <v>16</v>
      </c>
      <c r="B32" s="109" t="s">
        <v>88</v>
      </c>
      <c r="C32" s="125" t="str">
        <f>IF(ISNUMBER(A32),IF(ISERROR(MATCH(A32,Programa!#REF!,0)),"Nunca",(INDEX(Programa!$A:$A,12)-D32)/7&amp;" semanas"),"")</f>
        <v>Nunca</v>
      </c>
      <c r="D32" s="121" t="str">
        <f ca="1">IF(ISNUMBER(A32),IF(ISERROR(MATCH(A32,Programa!#REF!,0)),"",INDIRECT(ADDRESS(12+MATCH(A32,Programa!#REF!,0)-MOD(12+MATCH(A32,Programa!#REF!,0),12),1,,,"Programa"))),"")</f>
        <v/>
      </c>
      <c r="E32" s="110"/>
      <c r="F32" s="81"/>
      <c r="G32" s="82"/>
      <c r="H32" s="82"/>
      <c r="I32" s="82"/>
      <c r="J32" s="82"/>
      <c r="K32" s="82"/>
      <c r="L32" s="82"/>
      <c r="M32" s="82"/>
    </row>
    <row r="33" spans="1:13" ht="15" customHeight="1" x14ac:dyDescent="0.25">
      <c r="A33" s="108">
        <v>16</v>
      </c>
      <c r="B33" s="109" t="s">
        <v>89</v>
      </c>
      <c r="C33" s="125" t="str">
        <f>IF(ISNUMBER(A33),IF(ISERROR(MATCH(A33,Programa!#REF!,0)),"Nunca",(INDEX(Programa!$A:$A,12)-D33)/7&amp;" semanas"),"")</f>
        <v>Nunca</v>
      </c>
      <c r="D33" s="121" t="str">
        <f ca="1">IF(ISNUMBER(A33),IF(ISERROR(MATCH(A33,Programa!#REF!,0)),"",INDIRECT(ADDRESS(12+MATCH(A33,Programa!#REF!,0)-MOD(12+MATCH(A33,Programa!#REF!,0),12),1,,,"Programa"))),"")</f>
        <v/>
      </c>
      <c r="E33" s="81"/>
      <c r="F33" s="81"/>
      <c r="G33" s="82"/>
      <c r="H33" s="82"/>
      <c r="I33" s="82"/>
      <c r="J33" s="82"/>
      <c r="K33" s="82"/>
      <c r="L33" s="82"/>
      <c r="M33" s="82"/>
    </row>
    <row r="34" spans="1:13" ht="15" customHeight="1" x14ac:dyDescent="0.25">
      <c r="A34" s="108">
        <v>17</v>
      </c>
      <c r="B34" s="109" t="s">
        <v>90</v>
      </c>
      <c r="C34" s="125" t="str">
        <f>IF(ISNUMBER(A34),IF(ISERROR(MATCH(A34,Programa!#REF!,0)),"Nunca",(INDEX(Programa!$A:$A,12)-D34)/7&amp;" semanas"),"")</f>
        <v>Nunca</v>
      </c>
      <c r="D34" s="121" t="str">
        <f ca="1">IF(ISNUMBER(A34),IF(ISERROR(MATCH(A34,Programa!#REF!,0)),"",INDIRECT(ADDRESS(12+MATCH(A34,Programa!#REF!,0)-MOD(12+MATCH(A34,Programa!#REF!,0),12),1,,,"Programa"))),"")</f>
        <v/>
      </c>
      <c r="E34" s="81"/>
      <c r="F34" s="81"/>
      <c r="G34" s="82"/>
      <c r="H34" s="82"/>
      <c r="I34" s="82"/>
      <c r="J34" s="82"/>
      <c r="K34" s="82"/>
      <c r="L34" s="82"/>
      <c r="M34" s="82"/>
    </row>
    <row r="35" spans="1:13" ht="15" customHeight="1" x14ac:dyDescent="0.25">
      <c r="A35" s="108">
        <v>17</v>
      </c>
      <c r="B35" s="109" t="s">
        <v>91</v>
      </c>
      <c r="C35" s="125" t="str">
        <f>IF(ISNUMBER(A35),IF(ISERROR(MATCH(A35,Programa!#REF!,0)),"Nunca",(INDEX(Programa!$A:$A,12)-D35)/7&amp;" semanas"),"")</f>
        <v>Nunca</v>
      </c>
      <c r="D35" s="121" t="str">
        <f ca="1">IF(ISNUMBER(A35),IF(ISERROR(MATCH(A35,Programa!#REF!,0)),"",INDIRECT(ADDRESS(12+MATCH(A35,Programa!#REF!,0)-MOD(12+MATCH(A35,Programa!#REF!,0),12),1,,,"Programa"))),"")</f>
        <v/>
      </c>
      <c r="E35" s="81"/>
      <c r="F35" s="81"/>
      <c r="G35" s="82"/>
      <c r="H35" s="82"/>
      <c r="I35" s="82"/>
      <c r="J35" s="82"/>
      <c r="K35" s="82"/>
      <c r="L35" s="82"/>
      <c r="M35" s="82"/>
    </row>
    <row r="36" spans="1:13" ht="15" customHeight="1" x14ac:dyDescent="0.25">
      <c r="A36" s="108">
        <v>18</v>
      </c>
      <c r="B36" s="109" t="s">
        <v>92</v>
      </c>
      <c r="C36" s="125" t="str">
        <f>IF(ISNUMBER(A36),IF(ISERROR(MATCH(A36,Programa!#REF!,0)),"Nunca",(INDEX(Programa!$A:$A,12)-D36)/7&amp;" semanas"),"")</f>
        <v>Nunca</v>
      </c>
      <c r="D36" s="121" t="str">
        <f ca="1">IF(ISNUMBER(A36),IF(ISERROR(MATCH(A36,Programa!#REF!,0)),"",INDIRECT(ADDRESS(12+MATCH(A36,Programa!#REF!,0)-MOD(12+MATCH(A36,Programa!#REF!,0),12),1,,,"Programa"))),"")</f>
        <v/>
      </c>
      <c r="E36" s="81"/>
      <c r="F36" s="81"/>
      <c r="G36" s="82"/>
      <c r="H36" s="82"/>
      <c r="I36" s="82"/>
      <c r="J36" s="82"/>
      <c r="K36" s="82"/>
      <c r="L36" s="82"/>
      <c r="M36" s="82"/>
    </row>
    <row r="37" spans="1:13" ht="15" customHeight="1" x14ac:dyDescent="0.25">
      <c r="A37" s="108">
        <v>18</v>
      </c>
      <c r="B37" s="109" t="s">
        <v>93</v>
      </c>
      <c r="C37" s="125" t="str">
        <f>IF(ISNUMBER(A37),IF(ISERROR(MATCH(A37,Programa!#REF!,0)),"Nunca",(INDEX(Programa!$A:$A,12)-D37)/7&amp;" semanas"),"")</f>
        <v>Nunca</v>
      </c>
      <c r="D37" s="121" t="str">
        <f ca="1">IF(ISNUMBER(A37),IF(ISERROR(MATCH(A37,Programa!#REF!,0)),"",INDIRECT(ADDRESS(12+MATCH(A37,Programa!#REF!,0)-MOD(12+MATCH(A37,Programa!#REF!,0),12),1,,,"Programa"))),"")</f>
        <v/>
      </c>
      <c r="E37" s="81"/>
      <c r="F37" s="81"/>
      <c r="G37" s="82"/>
      <c r="H37" s="82"/>
      <c r="I37" s="82"/>
      <c r="J37" s="82"/>
      <c r="K37" s="82"/>
      <c r="L37" s="82"/>
      <c r="M37" s="82"/>
    </row>
    <row r="38" spans="1:13" ht="15" customHeight="1" x14ac:dyDescent="0.25">
      <c r="A38" s="108">
        <v>19</v>
      </c>
      <c r="B38" s="109" t="s">
        <v>94</v>
      </c>
      <c r="C38" s="125" t="str">
        <f>IF(ISNUMBER(A38),IF(ISERROR(MATCH(A38,Programa!#REF!,0)),"Nunca",(INDEX(Programa!$A:$A,12)-D38)/7&amp;" semanas"),"")</f>
        <v>Nunca</v>
      </c>
      <c r="D38" s="121" t="str">
        <f ca="1">IF(ISNUMBER(A38),IF(ISERROR(MATCH(A38,Programa!#REF!,0)),"",INDIRECT(ADDRESS(12+MATCH(A38,Programa!#REF!,0)-MOD(12+MATCH(A38,Programa!#REF!,0),12),1,,,"Programa"))),"")</f>
        <v/>
      </c>
      <c r="E38" s="81"/>
      <c r="F38" s="81"/>
      <c r="G38" s="82"/>
      <c r="H38" s="82"/>
      <c r="I38" s="82"/>
      <c r="J38" s="82"/>
      <c r="K38" s="82"/>
      <c r="L38" s="82"/>
      <c r="M38" s="82"/>
    </row>
    <row r="39" spans="1:13" ht="15" customHeight="1" x14ac:dyDescent="0.25">
      <c r="A39" s="108">
        <v>19</v>
      </c>
      <c r="B39" s="109" t="s">
        <v>95</v>
      </c>
      <c r="C39" s="125" t="str">
        <f>IF(ISNUMBER(A39),IF(ISERROR(MATCH(A39,Programa!#REF!,0)),"Nunca",(INDEX(Programa!$A:$A,12)-D39)/7&amp;" semanas"),"")</f>
        <v>Nunca</v>
      </c>
      <c r="D39" s="121" t="str">
        <f ca="1">IF(ISNUMBER(A39),IF(ISERROR(MATCH(A39,Programa!#REF!,0)),"",INDIRECT(ADDRESS(12+MATCH(A39,Programa!#REF!,0)-MOD(12+MATCH(A39,Programa!#REF!,0),12),1,,,"Programa"))),"")</f>
        <v/>
      </c>
      <c r="E39" s="81"/>
      <c r="F39" s="81"/>
      <c r="G39" s="82"/>
      <c r="H39" s="82"/>
      <c r="I39" s="82"/>
      <c r="J39" s="82"/>
      <c r="K39" s="82"/>
      <c r="L39" s="82"/>
      <c r="M39" s="82"/>
    </row>
    <row r="40" spans="1:13" ht="15" customHeight="1" x14ac:dyDescent="0.25">
      <c r="A40" s="108">
        <v>20</v>
      </c>
      <c r="B40" s="109" t="s">
        <v>96</v>
      </c>
      <c r="C40" s="125" t="str">
        <f>IF(ISNUMBER(A40),IF(ISERROR(MATCH(A40,Programa!#REF!,0)),"Nunca",(INDEX(Programa!$A:$A,12)-D40)/7&amp;" semanas"),"")</f>
        <v>Nunca</v>
      </c>
      <c r="D40" s="121" t="str">
        <f ca="1">IF(ISNUMBER(A40),IF(ISERROR(MATCH(A40,Programa!#REF!,0)),"",INDIRECT(ADDRESS(12+MATCH(A40,Programa!#REF!,0)-MOD(12+MATCH(A40,Programa!#REF!,0),12),1,,,"Programa"))),"")</f>
        <v/>
      </c>
      <c r="E40" s="81"/>
      <c r="F40" s="81"/>
      <c r="G40" s="82"/>
      <c r="H40" s="82"/>
      <c r="I40" s="82"/>
      <c r="J40" s="82"/>
      <c r="K40" s="82"/>
      <c r="L40" s="82"/>
      <c r="M40" s="82"/>
    </row>
    <row r="41" spans="1:13" ht="15" customHeight="1" x14ac:dyDescent="0.25">
      <c r="A41" s="108">
        <v>20</v>
      </c>
      <c r="B41" s="109" t="s">
        <v>96</v>
      </c>
      <c r="C41" s="125" t="str">
        <f>IF(ISNUMBER(A41),IF(ISERROR(MATCH(A41,Programa!#REF!,0)),"Nunca",(INDEX(Programa!$A:$A,12)-D41)/7&amp;" semanas"),"")</f>
        <v>Nunca</v>
      </c>
      <c r="D41" s="121" t="str">
        <f ca="1">IF(ISNUMBER(A41),IF(ISERROR(MATCH(A41,Programa!#REF!,0)),"",INDIRECT(ADDRESS(12+MATCH(A41,Programa!#REF!,0)-MOD(12+MATCH(A41,Programa!#REF!,0),12),1,,,"Programa"))),"")</f>
        <v/>
      </c>
      <c r="E41" s="81"/>
      <c r="F41" s="81"/>
      <c r="G41" s="82"/>
      <c r="H41" s="82"/>
      <c r="I41" s="82"/>
      <c r="J41" s="82"/>
      <c r="K41" s="82"/>
      <c r="L41" s="82"/>
      <c r="M41" s="82"/>
    </row>
    <row r="42" spans="1:13" ht="15" customHeight="1" x14ac:dyDescent="0.25">
      <c r="A42" s="108">
        <v>21</v>
      </c>
      <c r="B42" s="109" t="s">
        <v>97</v>
      </c>
      <c r="C42" s="125" t="str">
        <f>IF(ISNUMBER(A42),IF(ISERROR(MATCH(A42,Programa!#REF!,0)),"Nunca",(INDEX(Programa!$A:$A,12)-D42)/7&amp;" semanas"),"")</f>
        <v>Nunca</v>
      </c>
      <c r="D42" s="121" t="str">
        <f ca="1">IF(ISNUMBER(A42),IF(ISERROR(MATCH(A42,Programa!#REF!,0)),"",INDIRECT(ADDRESS(12+MATCH(A42,Programa!#REF!,0)-MOD(12+MATCH(A42,Programa!#REF!,0),12),1,,,"Programa"))),"")</f>
        <v/>
      </c>
      <c r="E42" s="81"/>
      <c r="F42" s="81"/>
      <c r="G42" s="82"/>
      <c r="H42" s="82"/>
      <c r="I42" s="82"/>
      <c r="J42" s="82"/>
      <c r="K42" s="82"/>
      <c r="L42" s="82"/>
      <c r="M42" s="82"/>
    </row>
    <row r="43" spans="1:13" ht="15" customHeight="1" x14ac:dyDescent="0.25">
      <c r="A43" s="108">
        <v>21</v>
      </c>
      <c r="B43" s="109" t="s">
        <v>98</v>
      </c>
      <c r="C43" s="125" t="str">
        <f>IF(ISNUMBER(A43),IF(ISERROR(MATCH(A43,Programa!#REF!,0)),"Nunca",(INDEX(Programa!$A:$A,12)-D43)/7&amp;" semanas"),"")</f>
        <v>Nunca</v>
      </c>
      <c r="D43" s="121" t="str">
        <f ca="1">IF(ISNUMBER(A43),IF(ISERROR(MATCH(A43,Programa!#REF!,0)),"",INDIRECT(ADDRESS(12+MATCH(A43,Programa!#REF!,0)-MOD(12+MATCH(A43,Programa!#REF!,0),12),1,,,"Programa"))),"")</f>
        <v/>
      </c>
      <c r="E43" s="81"/>
      <c r="F43" s="81"/>
      <c r="G43" s="82"/>
      <c r="H43" s="82"/>
      <c r="I43" s="82"/>
      <c r="J43" s="82"/>
      <c r="K43" s="82"/>
      <c r="L43" s="82"/>
      <c r="M43" s="82"/>
    </row>
    <row r="44" spans="1:13" ht="15" customHeight="1" x14ac:dyDescent="0.25">
      <c r="A44" s="108">
        <v>22</v>
      </c>
      <c r="B44" s="109" t="s">
        <v>99</v>
      </c>
      <c r="C44" s="125" t="str">
        <f>IF(ISNUMBER(A44),IF(ISERROR(MATCH(A44,Programa!#REF!,0)),"Nunca",(INDEX(Programa!$A:$A,12)-D44)/7&amp;" semanas"),"")</f>
        <v>Nunca</v>
      </c>
      <c r="D44" s="121" t="str">
        <f ca="1">IF(ISNUMBER(A44),IF(ISERROR(MATCH(A44,Programa!#REF!,0)),"",INDIRECT(ADDRESS(12+MATCH(A44,Programa!#REF!,0)-MOD(12+MATCH(A44,Programa!#REF!,0),12),1,,,"Programa"))),"")</f>
        <v/>
      </c>
      <c r="E44" s="81"/>
      <c r="F44" s="81"/>
      <c r="G44" s="82"/>
      <c r="H44" s="82"/>
      <c r="I44" s="82"/>
      <c r="J44" s="82"/>
      <c r="K44" s="82"/>
      <c r="L44" s="82"/>
      <c r="M44" s="82"/>
    </row>
    <row r="45" spans="1:13" ht="15" customHeight="1" x14ac:dyDescent="0.25">
      <c r="A45" s="108">
        <v>22</v>
      </c>
      <c r="B45" s="109" t="s">
        <v>100</v>
      </c>
      <c r="C45" s="125" t="str">
        <f>IF(ISNUMBER(A45),IF(ISERROR(MATCH(A45,Programa!#REF!,0)),"Nunca",(INDEX(Programa!$A:$A,12)-D45)/7&amp;" semanas"),"")</f>
        <v>Nunca</v>
      </c>
      <c r="D45" s="121" t="str">
        <f ca="1">IF(ISNUMBER(A45),IF(ISERROR(MATCH(A45,Programa!#REF!,0)),"",INDIRECT(ADDRESS(12+MATCH(A45,Programa!#REF!,0)-MOD(12+MATCH(A45,Programa!#REF!,0),12),1,,,"Programa"))),"")</f>
        <v/>
      </c>
      <c r="E45" s="81"/>
      <c r="F45" s="81"/>
      <c r="G45" s="82"/>
      <c r="H45" s="82"/>
      <c r="I45" s="82"/>
      <c r="J45" s="82"/>
      <c r="K45" s="82"/>
      <c r="L45" s="82"/>
      <c r="M45" s="82"/>
    </row>
    <row r="46" spans="1:13" ht="15" customHeight="1" x14ac:dyDescent="0.25">
      <c r="A46" s="108">
        <v>23</v>
      </c>
      <c r="B46" s="109" t="s">
        <v>101</v>
      </c>
      <c r="C46" s="125" t="str">
        <f>IF(ISNUMBER(A46),IF(ISERROR(MATCH(A46,Programa!#REF!,0)),"Nunca",(INDEX(Programa!$A:$A,12)-D46)/7&amp;" semanas"),"")</f>
        <v>Nunca</v>
      </c>
      <c r="D46" s="121" t="str">
        <f ca="1">IF(ISNUMBER(A46),IF(ISERROR(MATCH(A46,Programa!#REF!,0)),"",INDIRECT(ADDRESS(12+MATCH(A46,Programa!#REF!,0)-MOD(12+MATCH(A46,Programa!#REF!,0),12),1,,,"Programa"))),"")</f>
        <v/>
      </c>
      <c r="E46" s="81"/>
      <c r="F46" s="81"/>
      <c r="G46" s="82"/>
      <c r="H46" s="82"/>
      <c r="I46" s="82"/>
      <c r="J46" s="82"/>
      <c r="K46" s="82"/>
      <c r="L46" s="82"/>
      <c r="M46" s="82"/>
    </row>
    <row r="47" spans="1:13" ht="15" customHeight="1" x14ac:dyDescent="0.25">
      <c r="A47" s="108">
        <v>23</v>
      </c>
      <c r="B47" s="109" t="s">
        <v>102</v>
      </c>
      <c r="C47" s="125" t="str">
        <f>IF(ISNUMBER(A47),IF(ISERROR(MATCH(A47,Programa!#REF!,0)),"Nunca",(INDEX(Programa!$A:$A,12)-D47)/7&amp;" semanas"),"")</f>
        <v>Nunca</v>
      </c>
      <c r="D47" s="121" t="str">
        <f ca="1">IF(ISNUMBER(A47),IF(ISERROR(MATCH(A47,Programa!#REF!,0)),"",INDIRECT(ADDRESS(12+MATCH(A47,Programa!#REF!,0)-MOD(12+MATCH(A47,Programa!#REF!,0),12),1,,,"Programa"))),"")</f>
        <v/>
      </c>
      <c r="E47" s="81"/>
      <c r="F47" s="81"/>
      <c r="G47" s="82"/>
      <c r="H47" s="82"/>
      <c r="I47" s="82"/>
      <c r="J47" s="82"/>
      <c r="K47" s="82"/>
      <c r="L47" s="82"/>
      <c r="M47" s="82"/>
    </row>
    <row r="48" spans="1:13" ht="15" customHeight="1" x14ac:dyDescent="0.25">
      <c r="A48" s="108">
        <v>24</v>
      </c>
      <c r="B48" s="109" t="s">
        <v>103</v>
      </c>
      <c r="C48" s="125" t="str">
        <f>IF(ISNUMBER(A48),IF(ISERROR(MATCH(A48,Programa!#REF!,0)),"Nunca",(INDEX(Programa!$A:$A,12)-D48)/7&amp;" semanas"),"")</f>
        <v>Nunca</v>
      </c>
      <c r="D48" s="121" t="str">
        <f ca="1">IF(ISNUMBER(A48),IF(ISERROR(MATCH(A48,Programa!#REF!,0)),"",INDIRECT(ADDRESS(12+MATCH(A48,Programa!#REF!,0)-MOD(12+MATCH(A48,Programa!#REF!,0),12),1,,,"Programa"))),"")</f>
        <v/>
      </c>
      <c r="E48" s="81"/>
      <c r="F48" s="81"/>
      <c r="G48" s="82"/>
      <c r="H48" s="82"/>
      <c r="I48" s="82"/>
      <c r="J48" s="82"/>
      <c r="K48" s="82"/>
      <c r="L48" s="82"/>
      <c r="M48" s="82"/>
    </row>
    <row r="49" spans="1:13" ht="15" customHeight="1" x14ac:dyDescent="0.25">
      <c r="A49" s="108">
        <v>24</v>
      </c>
      <c r="B49" s="109" t="s">
        <v>104</v>
      </c>
      <c r="C49" s="125" t="str">
        <f>IF(ISNUMBER(A49),IF(ISERROR(MATCH(A49,Programa!#REF!,0)),"Nunca",(INDEX(Programa!$A:$A,12)-D49)/7&amp;" semanas"),"")</f>
        <v>Nunca</v>
      </c>
      <c r="D49" s="121" t="str">
        <f ca="1">IF(ISNUMBER(A49),IF(ISERROR(MATCH(A49,Programa!#REF!,0)),"",INDIRECT(ADDRESS(12+MATCH(A49,Programa!#REF!,0)-MOD(12+MATCH(A49,Programa!#REF!,0),12),1,,,"Programa"))),"")</f>
        <v/>
      </c>
      <c r="E49" s="81"/>
      <c r="F49" s="81"/>
      <c r="G49" s="82"/>
      <c r="H49" s="82"/>
      <c r="I49" s="82"/>
      <c r="J49" s="82"/>
      <c r="K49" s="82"/>
      <c r="L49" s="82"/>
      <c r="M49" s="82"/>
    </row>
    <row r="50" spans="1:13" ht="15" customHeight="1" x14ac:dyDescent="0.25">
      <c r="A50" s="108">
        <v>25</v>
      </c>
      <c r="B50" s="109" t="s">
        <v>105</v>
      </c>
      <c r="C50" s="125" t="str">
        <f>IF(ISNUMBER(A50),IF(ISERROR(MATCH(A50,Programa!#REF!,0)),"Nunca",(INDEX(Programa!$A:$A,12)-D50)/7&amp;" semanas"),"")</f>
        <v>Nunca</v>
      </c>
      <c r="D50" s="121" t="str">
        <f ca="1">IF(ISNUMBER(A50),IF(ISERROR(MATCH(A50,Programa!#REF!,0)),"",INDIRECT(ADDRESS(12+MATCH(A50,Programa!#REF!,0)-MOD(12+MATCH(A50,Programa!#REF!,0),12),1,,,"Programa"))),"")</f>
        <v/>
      </c>
      <c r="E50" s="81"/>
      <c r="F50" s="81"/>
      <c r="G50" s="82"/>
      <c r="H50" s="82"/>
      <c r="I50" s="82"/>
      <c r="J50" s="82"/>
      <c r="K50" s="82"/>
      <c r="L50" s="82"/>
      <c r="M50" s="82"/>
    </row>
    <row r="51" spans="1:13" ht="15" customHeight="1" x14ac:dyDescent="0.25">
      <c r="A51" s="108">
        <v>25</v>
      </c>
      <c r="B51" s="109" t="s">
        <v>106</v>
      </c>
      <c r="C51" s="125" t="str">
        <f>IF(ISNUMBER(A51),IF(ISERROR(MATCH(A51,Programa!#REF!,0)),"Nunca",(INDEX(Programa!$A:$A,12)-D51)/7&amp;" semanas"),"")</f>
        <v>Nunca</v>
      </c>
      <c r="D51" s="121" t="str">
        <f ca="1">IF(ISNUMBER(A51),IF(ISERROR(MATCH(A51,Programa!#REF!,0)),"",INDIRECT(ADDRESS(12+MATCH(A51,Programa!#REF!,0)-MOD(12+MATCH(A51,Programa!#REF!,0),12),1,,,"Programa"))),"")</f>
        <v/>
      </c>
      <c r="E51" s="81"/>
      <c r="F51" s="81"/>
      <c r="G51" s="82"/>
      <c r="H51" s="82"/>
      <c r="I51" s="82"/>
      <c r="J51" s="82"/>
      <c r="K51" s="82"/>
      <c r="L51" s="82"/>
      <c r="M51" s="82"/>
    </row>
    <row r="52" spans="1:13" ht="15" customHeight="1" x14ac:dyDescent="0.25">
      <c r="A52" s="108">
        <v>26</v>
      </c>
      <c r="B52" s="109" t="s">
        <v>107</v>
      </c>
      <c r="C52" s="125" t="str">
        <f>IF(ISNUMBER(A52),IF(ISERROR(MATCH(A52,Programa!#REF!,0)),"Nunca",(INDEX(Programa!$A:$A,12)-D52)/7&amp;" semanas"),"")</f>
        <v>Nunca</v>
      </c>
      <c r="D52" s="121" t="str">
        <f ca="1">IF(ISNUMBER(A52),IF(ISERROR(MATCH(A52,Programa!#REF!,0)),"",INDIRECT(ADDRESS(12+MATCH(A52,Programa!#REF!,0)-MOD(12+MATCH(A52,Programa!#REF!,0),12),1,,,"Programa"))),"")</f>
        <v/>
      </c>
      <c r="E52" s="81"/>
      <c r="F52" s="81"/>
      <c r="G52" s="82"/>
      <c r="H52" s="82"/>
      <c r="I52" s="82"/>
      <c r="J52" s="82"/>
      <c r="K52" s="82"/>
      <c r="L52" s="82"/>
      <c r="M52" s="82"/>
    </row>
    <row r="53" spans="1:13" ht="15" customHeight="1" x14ac:dyDescent="0.25">
      <c r="A53" s="108">
        <v>26</v>
      </c>
      <c r="B53" s="109" t="s">
        <v>108</v>
      </c>
      <c r="C53" s="125" t="str">
        <f>IF(ISNUMBER(A53),IF(ISERROR(MATCH(A53,Programa!#REF!,0)),"Nunca",(INDEX(Programa!$A:$A,12)-D53)/7&amp;" semanas"),"")</f>
        <v>Nunca</v>
      </c>
      <c r="D53" s="121" t="str">
        <f ca="1">IF(ISNUMBER(A53),IF(ISERROR(MATCH(A53,Programa!#REF!,0)),"",INDIRECT(ADDRESS(12+MATCH(A53,Programa!#REF!,0)-MOD(12+MATCH(A53,Programa!#REF!,0),12),1,,,"Programa"))),"")</f>
        <v/>
      </c>
      <c r="E53" s="81"/>
      <c r="F53" s="81"/>
      <c r="G53" s="82"/>
      <c r="H53" s="82"/>
      <c r="I53" s="82"/>
      <c r="J53" s="82"/>
      <c r="K53" s="82"/>
      <c r="L53" s="82"/>
      <c r="M53" s="82"/>
    </row>
    <row r="54" spans="1:13" ht="15" customHeight="1" x14ac:dyDescent="0.25">
      <c r="A54" s="108">
        <v>27</v>
      </c>
      <c r="B54" s="109" t="s">
        <v>109</v>
      </c>
      <c r="C54" s="125" t="str">
        <f>IF(ISNUMBER(A54),IF(ISERROR(MATCH(A54,Programa!#REF!,0)),"Nunca",(INDEX(Programa!$A:$A,12)-D54)/7&amp;" semanas"),"")</f>
        <v>Nunca</v>
      </c>
      <c r="D54" s="121" t="str">
        <f ca="1">IF(ISNUMBER(A54),IF(ISERROR(MATCH(A54,Programa!#REF!,0)),"",INDIRECT(ADDRESS(12+MATCH(A54,Programa!#REF!,0)-MOD(12+MATCH(A54,Programa!#REF!,0),12),1,,,"Programa"))),"")</f>
        <v/>
      </c>
      <c r="E54" s="81"/>
      <c r="F54" s="81"/>
      <c r="G54" s="82"/>
      <c r="H54" s="82"/>
      <c r="I54" s="82"/>
      <c r="J54" s="82"/>
      <c r="K54" s="82"/>
      <c r="L54" s="82"/>
      <c r="M54" s="82"/>
    </row>
    <row r="55" spans="1:13" ht="15" customHeight="1" x14ac:dyDescent="0.25">
      <c r="A55" s="108">
        <v>27</v>
      </c>
      <c r="B55" s="109" t="s">
        <v>110</v>
      </c>
      <c r="C55" s="125" t="str">
        <f>IF(ISNUMBER(A55),IF(ISERROR(MATCH(A55,Programa!#REF!,0)),"Nunca",(INDEX(Programa!$A:$A,12)-D55)/7&amp;" semanas"),"")</f>
        <v>Nunca</v>
      </c>
      <c r="D55" s="121" t="str">
        <f ca="1">IF(ISNUMBER(A55),IF(ISERROR(MATCH(A55,Programa!#REF!,0)),"",INDIRECT(ADDRESS(12+MATCH(A55,Programa!#REF!,0)-MOD(12+MATCH(A55,Programa!#REF!,0),12),1,,,"Programa"))),"")</f>
        <v/>
      </c>
      <c r="E55" s="81"/>
      <c r="F55" s="81"/>
      <c r="G55" s="82"/>
      <c r="H55" s="82"/>
      <c r="I55" s="82"/>
      <c r="J55" s="82"/>
      <c r="K55" s="82"/>
      <c r="L55" s="82"/>
      <c r="M55" s="82"/>
    </row>
    <row r="56" spans="1:13" ht="15" customHeight="1" x14ac:dyDescent="0.25">
      <c r="A56" s="108">
        <v>28</v>
      </c>
      <c r="B56" s="109" t="s">
        <v>111</v>
      </c>
      <c r="C56" s="125" t="str">
        <f>IF(ISNUMBER(A56),IF(ISERROR(MATCH(A56,Programa!#REF!,0)),"Nunca",(INDEX(Programa!$A:$A,12)-D56)/7&amp;" semanas"),"")</f>
        <v>Nunca</v>
      </c>
      <c r="D56" s="121" t="str">
        <f ca="1">IF(ISNUMBER(A56),IF(ISERROR(MATCH(A56,Programa!#REF!,0)),"",INDIRECT(ADDRESS(12+MATCH(A56,Programa!#REF!,0)-MOD(12+MATCH(A56,Programa!#REF!,0),12),1,,,"Programa"))),"")</f>
        <v/>
      </c>
      <c r="E56" s="81"/>
      <c r="F56" s="81"/>
      <c r="G56" s="82"/>
      <c r="H56" s="82"/>
      <c r="I56" s="82"/>
      <c r="J56" s="82"/>
      <c r="K56" s="82"/>
      <c r="L56" s="82"/>
      <c r="M56" s="82"/>
    </row>
    <row r="57" spans="1:13" ht="15" customHeight="1" x14ac:dyDescent="0.25">
      <c r="A57" s="108">
        <v>28</v>
      </c>
      <c r="B57" s="109" t="s">
        <v>112</v>
      </c>
      <c r="C57" s="125" t="str">
        <f>IF(ISNUMBER(A57),IF(ISERROR(MATCH(A57,Programa!#REF!,0)),"Nunca",(INDEX(Programa!$A:$A,12)-D57)/7&amp;" semanas"),"")</f>
        <v>Nunca</v>
      </c>
      <c r="D57" s="121" t="str">
        <f ca="1">IF(ISNUMBER(A57),IF(ISERROR(MATCH(A57,Programa!#REF!,0)),"",INDIRECT(ADDRESS(12+MATCH(A57,Programa!#REF!,0)-MOD(12+MATCH(A57,Programa!#REF!,0),12),1,,,"Programa"))),"")</f>
        <v/>
      </c>
      <c r="E57" s="81"/>
      <c r="F57" s="81"/>
      <c r="G57" s="82"/>
      <c r="H57" s="82"/>
      <c r="I57" s="82"/>
      <c r="J57" s="82"/>
      <c r="K57" s="82"/>
      <c r="L57" s="82"/>
      <c r="M57" s="82"/>
    </row>
    <row r="58" spans="1:13" ht="15" customHeight="1" x14ac:dyDescent="0.25">
      <c r="A58" s="108">
        <v>29</v>
      </c>
      <c r="B58" s="109" t="s">
        <v>113</v>
      </c>
      <c r="C58" s="125" t="str">
        <f>IF(ISNUMBER(A58),IF(ISERROR(MATCH(A58,Programa!#REF!,0)),"Nunca",(INDEX(Programa!$A:$A,12)-D58)/7&amp;" semanas"),"")</f>
        <v>Nunca</v>
      </c>
      <c r="D58" s="121" t="str">
        <f ca="1">IF(ISNUMBER(A58),IF(ISERROR(MATCH(A58,Programa!#REF!,0)),"",INDIRECT(ADDRESS(12+MATCH(A58,Programa!#REF!,0)-MOD(12+MATCH(A58,Programa!#REF!,0),12),1,,,"Programa"))),"")</f>
        <v/>
      </c>
      <c r="E58" s="81"/>
      <c r="F58" s="81"/>
      <c r="G58" s="82"/>
      <c r="H58" s="82"/>
      <c r="I58" s="82"/>
      <c r="J58" s="82"/>
      <c r="K58" s="82"/>
      <c r="L58" s="82"/>
      <c r="M58" s="82"/>
    </row>
    <row r="59" spans="1:13" ht="15" customHeight="1" x14ac:dyDescent="0.25">
      <c r="A59" s="108">
        <v>29</v>
      </c>
      <c r="B59" s="109" t="s">
        <v>114</v>
      </c>
      <c r="C59" s="125" t="str">
        <f>IF(ISNUMBER(A59),IF(ISERROR(MATCH(A59,Programa!#REF!,0)),"Nunca",(INDEX(Programa!$A:$A,12)-D59)/7&amp;" semanas"),"")</f>
        <v>Nunca</v>
      </c>
      <c r="D59" s="121" t="str">
        <f ca="1">IF(ISNUMBER(A59),IF(ISERROR(MATCH(A59,Programa!#REF!,0)),"",INDIRECT(ADDRESS(12+MATCH(A59,Programa!#REF!,0)-MOD(12+MATCH(A59,Programa!#REF!,0),12),1,,,"Programa"))),"")</f>
        <v/>
      </c>
      <c r="E59" s="81"/>
      <c r="F59" s="81"/>
      <c r="G59" s="82"/>
      <c r="H59" s="82"/>
      <c r="I59" s="82"/>
      <c r="J59" s="82"/>
      <c r="K59" s="82"/>
      <c r="L59" s="82"/>
      <c r="M59" s="82"/>
    </row>
    <row r="60" spans="1:13" ht="15" customHeight="1" x14ac:dyDescent="0.25">
      <c r="A60" s="108">
        <v>30</v>
      </c>
      <c r="B60" s="109" t="s">
        <v>115</v>
      </c>
      <c r="C60" s="125" t="str">
        <f>IF(ISNUMBER(A60),IF(ISERROR(MATCH(A60,Programa!#REF!,0)),"Nunca",(INDEX(Programa!$A:$A,12)-D60)/7&amp;" semanas"),"")</f>
        <v>Nunca</v>
      </c>
      <c r="D60" s="121" t="str">
        <f ca="1">IF(ISNUMBER(A60),IF(ISERROR(MATCH(A60,Programa!#REF!,0)),"",INDIRECT(ADDRESS(12+MATCH(A60,Programa!#REF!,0)-MOD(12+MATCH(A60,Programa!#REF!,0),12),1,,,"Programa"))),"")</f>
        <v/>
      </c>
      <c r="E60" s="81"/>
      <c r="F60" s="81"/>
      <c r="G60" s="82"/>
      <c r="H60" s="82"/>
      <c r="I60" s="82"/>
      <c r="J60" s="82"/>
      <c r="K60" s="82"/>
      <c r="L60" s="82"/>
      <c r="M60" s="82"/>
    </row>
    <row r="61" spans="1:13" ht="15" customHeight="1" x14ac:dyDescent="0.25">
      <c r="A61" s="108">
        <v>30</v>
      </c>
      <c r="B61" s="109" t="s">
        <v>116</v>
      </c>
      <c r="C61" s="125" t="str">
        <f>IF(ISNUMBER(A61),IF(ISERROR(MATCH(A61,Programa!#REF!,0)),"Nunca",(INDEX(Programa!$A:$A,12)-D61)/7&amp;" semanas"),"")</f>
        <v>Nunca</v>
      </c>
      <c r="D61" s="121" t="str">
        <f ca="1">IF(ISNUMBER(A61),IF(ISERROR(MATCH(A61,Programa!#REF!,0)),"",INDIRECT(ADDRESS(12+MATCH(A61,Programa!#REF!,0)-MOD(12+MATCH(A61,Programa!#REF!,0),12),1,,,"Programa"))),"")</f>
        <v/>
      </c>
      <c r="E61" s="81"/>
      <c r="F61" s="81"/>
      <c r="G61" s="82"/>
      <c r="H61" s="82"/>
      <c r="I61" s="82"/>
      <c r="J61" s="82"/>
      <c r="K61" s="82"/>
      <c r="L61" s="82"/>
      <c r="M61" s="82"/>
    </row>
    <row r="62" spans="1:13" ht="15" customHeight="1" x14ac:dyDescent="0.25">
      <c r="A62" s="108">
        <v>31</v>
      </c>
      <c r="B62" s="109" t="s">
        <v>117</v>
      </c>
      <c r="C62" s="125" t="str">
        <f>IF(ISNUMBER(A62),IF(ISERROR(MATCH(A62,Programa!#REF!,0)),"Nunca",(INDEX(Programa!$A:$A,12)-D62)/7&amp;" semanas"),"")</f>
        <v>Nunca</v>
      </c>
      <c r="D62" s="121" t="str">
        <f ca="1">IF(ISNUMBER(A62),IF(ISERROR(MATCH(A62,Programa!#REF!,0)),"",INDIRECT(ADDRESS(12+MATCH(A62,Programa!#REF!,0)-MOD(12+MATCH(A62,Programa!#REF!,0),12),1,,,"Programa"))),"")</f>
        <v/>
      </c>
      <c r="E62" s="81"/>
      <c r="F62" s="81"/>
      <c r="G62" s="82"/>
      <c r="H62" s="82"/>
      <c r="I62" s="82"/>
      <c r="J62" s="82"/>
      <c r="K62" s="82"/>
      <c r="L62" s="82"/>
      <c r="M62" s="82"/>
    </row>
    <row r="63" spans="1:13" ht="15" customHeight="1" x14ac:dyDescent="0.25">
      <c r="A63" s="108">
        <v>31</v>
      </c>
      <c r="B63" s="109" t="s">
        <v>118</v>
      </c>
      <c r="C63" s="125" t="str">
        <f>IF(ISNUMBER(A63),IF(ISERROR(MATCH(A63,Programa!#REF!,0)),"Nunca",(INDEX(Programa!$A:$A,12)-D63)/7&amp;" semanas"),"")</f>
        <v>Nunca</v>
      </c>
      <c r="D63" s="121" t="str">
        <f ca="1">IF(ISNUMBER(A63),IF(ISERROR(MATCH(A63,Programa!#REF!,0)),"",INDIRECT(ADDRESS(12+MATCH(A63,Programa!#REF!,0)-MOD(12+MATCH(A63,Programa!#REF!,0),12),1,,,"Programa"))),"")</f>
        <v/>
      </c>
      <c r="E63" s="81"/>
      <c r="F63" s="81"/>
      <c r="G63" s="82"/>
      <c r="H63" s="82"/>
      <c r="I63" s="82"/>
      <c r="J63" s="82"/>
      <c r="K63" s="82"/>
      <c r="L63" s="82"/>
      <c r="M63" s="82"/>
    </row>
    <row r="64" spans="1:13" ht="15" customHeight="1" x14ac:dyDescent="0.25">
      <c r="A64" s="108">
        <v>32</v>
      </c>
      <c r="B64" s="109" t="s">
        <v>119</v>
      </c>
      <c r="C64" s="125" t="str">
        <f>IF(ISNUMBER(A64),IF(ISERROR(MATCH(A64,Programa!#REF!,0)),"Nunca",(INDEX(Programa!$A:$A,12)-D64)/7&amp;" semanas"),"")</f>
        <v>Nunca</v>
      </c>
      <c r="D64" s="121" t="str">
        <f ca="1">IF(ISNUMBER(A64),IF(ISERROR(MATCH(A64,Programa!#REF!,0)),"",INDIRECT(ADDRESS(12+MATCH(A64,Programa!#REF!,0)-MOD(12+MATCH(A64,Programa!#REF!,0),12),1,,,"Programa"))),"")</f>
        <v/>
      </c>
      <c r="E64" s="81"/>
      <c r="F64" s="81"/>
      <c r="G64" s="82"/>
      <c r="H64" s="82"/>
      <c r="I64" s="82"/>
      <c r="J64" s="82"/>
      <c r="K64" s="82"/>
      <c r="L64" s="82"/>
      <c r="M64" s="82"/>
    </row>
    <row r="65" spans="1:13" ht="15" customHeight="1" x14ac:dyDescent="0.25">
      <c r="A65" s="108">
        <v>32</v>
      </c>
      <c r="B65" s="109" t="s">
        <v>120</v>
      </c>
      <c r="C65" s="125" t="str">
        <f>IF(ISNUMBER(A65),IF(ISERROR(MATCH(A65,Programa!#REF!,0)),"Nunca",(INDEX(Programa!$A:$A,12)-D65)/7&amp;" semanas"),"")</f>
        <v>Nunca</v>
      </c>
      <c r="D65" s="121" t="str">
        <f ca="1">IF(ISNUMBER(A65),IF(ISERROR(MATCH(A65,Programa!#REF!,0)),"",INDIRECT(ADDRESS(12+MATCH(A65,Programa!#REF!,0)-MOD(12+MATCH(A65,Programa!#REF!,0),12),1,,,"Programa"))),"")</f>
        <v/>
      </c>
      <c r="E65" s="81"/>
      <c r="F65" s="81"/>
      <c r="G65" s="82"/>
      <c r="H65" s="82"/>
      <c r="I65" s="82"/>
      <c r="J65" s="82"/>
      <c r="K65" s="82"/>
      <c r="L65" s="82"/>
      <c r="M65" s="82"/>
    </row>
    <row r="66" spans="1:13" x14ac:dyDescent="0.25">
      <c r="A66" s="108">
        <v>33</v>
      </c>
      <c r="B66" s="109" t="s">
        <v>121</v>
      </c>
      <c r="C66" s="125" t="str">
        <f>IF(ISNUMBER(A66),IF(ISERROR(MATCH(A66,Programa!#REF!,0)),"Nunca",(INDEX(Programa!$A:$A,12)-D66)/7&amp;" semanas"),"")</f>
        <v>Nunca</v>
      </c>
      <c r="D66" s="121" t="str">
        <f ca="1">IF(ISNUMBER(A66),IF(ISERROR(MATCH(A66,Programa!#REF!,0)),"",INDIRECT(ADDRESS(12+MATCH(A66,Programa!#REF!,0)-MOD(12+MATCH(A66,Programa!#REF!,0),12),1,,,"Programa"))),"")</f>
        <v/>
      </c>
      <c r="E66" s="81"/>
      <c r="F66" s="81"/>
      <c r="G66" s="82"/>
      <c r="H66" s="82"/>
      <c r="I66" s="82"/>
      <c r="J66" s="82"/>
      <c r="K66" s="82"/>
      <c r="L66" s="82"/>
      <c r="M66" s="82"/>
    </row>
    <row r="67" spans="1:13" x14ac:dyDescent="0.25">
      <c r="A67" s="108">
        <v>33</v>
      </c>
      <c r="B67" s="109" t="s">
        <v>121</v>
      </c>
      <c r="C67" s="125" t="str">
        <f>IF(ISNUMBER(A67),IF(ISERROR(MATCH(A67,Programa!#REF!,0)),"Nunca",(INDEX(Programa!$A:$A,12)-D67)/7&amp;" semanas"),"")</f>
        <v>Nunca</v>
      </c>
      <c r="D67" s="121" t="str">
        <f ca="1">IF(ISNUMBER(A67),IF(ISERROR(MATCH(A67,Programa!#REF!,0)),"",INDIRECT(ADDRESS(12+MATCH(A67,Programa!#REF!,0)-MOD(12+MATCH(A67,Programa!#REF!,0),12),1,,,"Programa"))),"")</f>
        <v/>
      </c>
      <c r="E67" s="81"/>
      <c r="F67" s="81"/>
      <c r="G67" s="82"/>
      <c r="H67" s="82"/>
      <c r="I67" s="82"/>
      <c r="J67" s="82"/>
      <c r="K67" s="82"/>
      <c r="L67" s="82"/>
      <c r="M67" s="82"/>
    </row>
    <row r="68" spans="1:13" x14ac:dyDescent="0.25">
      <c r="A68" s="108">
        <v>34</v>
      </c>
      <c r="B68" s="109" t="s">
        <v>122</v>
      </c>
      <c r="C68" s="125" t="str">
        <f>IF(ISNUMBER(A68),IF(ISERROR(MATCH(A68,Programa!#REF!,0)),"Nunca",(INDEX(Programa!$A:$A,12)-D68)/7&amp;" semanas"),"")</f>
        <v>Nunca</v>
      </c>
      <c r="D68" s="121" t="str">
        <f ca="1">IF(ISNUMBER(A68),IF(ISERROR(MATCH(A68,Programa!#REF!,0)),"",INDIRECT(ADDRESS(12+MATCH(A68,Programa!#REF!,0)-MOD(12+MATCH(A68,Programa!#REF!,0),12),1,,,"Programa"))),"")</f>
        <v/>
      </c>
      <c r="E68" s="81"/>
      <c r="F68" s="81"/>
      <c r="G68" s="82"/>
      <c r="H68" s="82"/>
      <c r="I68" s="82"/>
      <c r="J68" s="82"/>
      <c r="K68" s="82"/>
      <c r="L68" s="82"/>
      <c r="M68" s="82"/>
    </row>
    <row r="69" spans="1:13" x14ac:dyDescent="0.25">
      <c r="A69" s="108">
        <v>34</v>
      </c>
      <c r="B69" s="109" t="s">
        <v>123</v>
      </c>
      <c r="C69" s="125" t="str">
        <f>IF(ISNUMBER(A69),IF(ISERROR(MATCH(A69,Programa!#REF!,0)),"Nunca",(INDEX(Programa!$A:$A,12)-D69)/7&amp;" semanas"),"")</f>
        <v>Nunca</v>
      </c>
      <c r="D69" s="121" t="str">
        <f ca="1">IF(ISNUMBER(A69),IF(ISERROR(MATCH(A69,Programa!#REF!,0)),"",INDIRECT(ADDRESS(12+MATCH(A69,Programa!#REF!,0)-MOD(12+MATCH(A69,Programa!#REF!,0),12),1,,,"Programa"))),"")</f>
        <v/>
      </c>
      <c r="E69" s="81"/>
      <c r="F69" s="81"/>
      <c r="G69" s="82"/>
      <c r="H69" s="82"/>
      <c r="I69" s="82"/>
      <c r="J69" s="82"/>
      <c r="K69" s="82"/>
      <c r="L69" s="82"/>
      <c r="M69" s="82"/>
    </row>
    <row r="70" spans="1:13" x14ac:dyDescent="0.25">
      <c r="A70" s="108">
        <v>35</v>
      </c>
      <c r="B70" s="109" t="s">
        <v>124</v>
      </c>
      <c r="C70" s="125" t="str">
        <f>IF(ISNUMBER(A70),IF(ISERROR(MATCH(A70,Programa!#REF!,0)),"Nunca",(INDEX(Programa!$A:$A,12)-D70)/7&amp;" semanas"),"")</f>
        <v>Nunca</v>
      </c>
      <c r="D70" s="121" t="str">
        <f ca="1">IF(ISNUMBER(A70),IF(ISERROR(MATCH(A70,Programa!#REF!,0)),"",INDIRECT(ADDRESS(12+MATCH(A70,Programa!#REF!,0)-MOD(12+MATCH(A70,Programa!#REF!,0),12),1,,,"Programa"))),"")</f>
        <v/>
      </c>
      <c r="E70" s="81"/>
      <c r="F70" s="81"/>
      <c r="G70" s="82"/>
      <c r="H70" s="82"/>
      <c r="I70" s="82"/>
      <c r="J70" s="82"/>
      <c r="K70" s="82"/>
      <c r="L70" s="82"/>
      <c r="M70" s="82"/>
    </row>
    <row r="71" spans="1:13" x14ac:dyDescent="0.25">
      <c r="A71" s="108">
        <v>35</v>
      </c>
      <c r="B71" s="109" t="s">
        <v>125</v>
      </c>
      <c r="C71" s="125" t="str">
        <f>IF(ISNUMBER(A71),IF(ISERROR(MATCH(A71,Programa!#REF!,0)),"Nunca",(INDEX(Programa!$A:$A,12)-D71)/7&amp;" semanas"),"")</f>
        <v>Nunca</v>
      </c>
      <c r="D71" s="121" t="str">
        <f ca="1">IF(ISNUMBER(A71),IF(ISERROR(MATCH(A71,Programa!#REF!,0)),"",INDIRECT(ADDRESS(12+MATCH(A71,Programa!#REF!,0)-MOD(12+MATCH(A71,Programa!#REF!,0),12),1,,,"Programa"))),"")</f>
        <v/>
      </c>
      <c r="E71" s="81"/>
      <c r="F71" s="81"/>
      <c r="G71" s="82"/>
      <c r="H71" s="82"/>
      <c r="I71" s="82"/>
      <c r="J71" s="82"/>
      <c r="K71" s="82"/>
      <c r="L71" s="82"/>
      <c r="M71" s="82"/>
    </row>
    <row r="72" spans="1:13" x14ac:dyDescent="0.25">
      <c r="A72" s="108">
        <v>36</v>
      </c>
      <c r="B72" s="109" t="s">
        <v>126</v>
      </c>
      <c r="C72" s="125" t="str">
        <f>IF(ISNUMBER(A72),IF(ISERROR(MATCH(A72,Programa!#REF!,0)),"Nunca",(INDEX(Programa!$A:$A,12)-D72)/7&amp;" semanas"),"")</f>
        <v>Nunca</v>
      </c>
      <c r="D72" s="121" t="str">
        <f ca="1">IF(ISNUMBER(A72),IF(ISERROR(MATCH(A72,Programa!#REF!,0)),"",INDIRECT(ADDRESS(12+MATCH(A72,Programa!#REF!,0)-MOD(12+MATCH(A72,Programa!#REF!,0),12),1,,,"Programa"))),"")</f>
        <v/>
      </c>
      <c r="E72" s="81"/>
      <c r="F72" s="81"/>
      <c r="G72" s="82"/>
      <c r="H72" s="82"/>
      <c r="I72" s="82"/>
      <c r="J72" s="82"/>
      <c r="K72" s="82"/>
      <c r="L72" s="82"/>
      <c r="M72" s="82"/>
    </row>
    <row r="73" spans="1:13" x14ac:dyDescent="0.25">
      <c r="A73" s="108">
        <v>36</v>
      </c>
      <c r="B73" s="109" t="s">
        <v>127</v>
      </c>
      <c r="C73" s="125" t="str">
        <f>IF(ISNUMBER(A73),IF(ISERROR(MATCH(A73,Programa!#REF!,0)),"Nunca",(INDEX(Programa!$A:$A,12)-D73)/7&amp;" semanas"),"")</f>
        <v>Nunca</v>
      </c>
      <c r="D73" s="121" t="str">
        <f ca="1">IF(ISNUMBER(A73),IF(ISERROR(MATCH(A73,Programa!#REF!,0)),"",INDIRECT(ADDRESS(12+MATCH(A73,Programa!#REF!,0)-MOD(12+MATCH(A73,Programa!#REF!,0),12),1,,,"Programa"))),"")</f>
        <v/>
      </c>
      <c r="E73" s="81"/>
      <c r="F73" s="81"/>
      <c r="G73" s="82"/>
      <c r="H73" s="82"/>
      <c r="I73" s="82"/>
      <c r="J73" s="82"/>
      <c r="K73" s="82"/>
      <c r="L73" s="82"/>
      <c r="M73" s="82"/>
    </row>
    <row r="74" spans="1:13" x14ac:dyDescent="0.25">
      <c r="A74" s="108">
        <v>37</v>
      </c>
      <c r="B74" s="109" t="s">
        <v>128</v>
      </c>
      <c r="C74" s="125" t="str">
        <f>IF(ISNUMBER(A74),IF(ISERROR(MATCH(A74,Programa!#REF!,0)),"Nunca",(INDEX(Programa!$A:$A,12)-D74)/7&amp;" semanas"),"")</f>
        <v>Nunca</v>
      </c>
      <c r="D74" s="121" t="str">
        <f ca="1">IF(ISNUMBER(A74),IF(ISERROR(MATCH(A74,Programa!#REF!,0)),"",INDIRECT(ADDRESS(12+MATCH(A74,Programa!#REF!,0)-MOD(12+MATCH(A74,Programa!#REF!,0),12),1,,,"Programa"))),"")</f>
        <v/>
      </c>
      <c r="E74" s="81"/>
      <c r="F74" s="81"/>
      <c r="G74" s="82"/>
      <c r="H74" s="82"/>
      <c r="I74" s="82"/>
      <c r="J74" s="82"/>
      <c r="K74" s="82"/>
      <c r="L74" s="82"/>
      <c r="M74" s="82"/>
    </row>
    <row r="75" spans="1:13" x14ac:dyDescent="0.25">
      <c r="A75" s="108">
        <v>37</v>
      </c>
      <c r="B75" s="109" t="s">
        <v>129</v>
      </c>
      <c r="C75" s="125" t="str">
        <f>IF(ISNUMBER(A75),IF(ISERROR(MATCH(A75,Programa!#REF!,0)),"Nunca",(INDEX(Programa!$A:$A,12)-D75)/7&amp;" semanas"),"")</f>
        <v>Nunca</v>
      </c>
      <c r="D75" s="121" t="str">
        <f ca="1">IF(ISNUMBER(A75),IF(ISERROR(MATCH(A75,Programa!#REF!,0)),"",INDIRECT(ADDRESS(12+MATCH(A75,Programa!#REF!,0)-MOD(12+MATCH(A75,Programa!#REF!,0),12),1,,,"Programa"))),"")</f>
        <v/>
      </c>
      <c r="E75" s="81"/>
      <c r="F75" s="81"/>
      <c r="G75" s="82"/>
      <c r="H75" s="82"/>
      <c r="I75" s="82"/>
      <c r="J75" s="82"/>
      <c r="K75" s="82"/>
      <c r="L75" s="82"/>
      <c r="M75" s="82"/>
    </row>
    <row r="76" spans="1:13" x14ac:dyDescent="0.25">
      <c r="A76" s="108">
        <v>38</v>
      </c>
      <c r="B76" s="109" t="s">
        <v>130</v>
      </c>
      <c r="C76" s="125" t="str">
        <f>IF(ISNUMBER(A76),IF(ISERROR(MATCH(A76,Programa!#REF!,0)),"Nunca",(INDEX(Programa!$A:$A,12)-D76)/7&amp;" semanas"),"")</f>
        <v>Nunca</v>
      </c>
      <c r="D76" s="121" t="str">
        <f ca="1">IF(ISNUMBER(A76),IF(ISERROR(MATCH(A76,Programa!#REF!,0)),"",INDIRECT(ADDRESS(12+MATCH(A76,Programa!#REF!,0)-MOD(12+MATCH(A76,Programa!#REF!,0),12),1,,,"Programa"))),"")</f>
        <v/>
      </c>
      <c r="E76" s="81"/>
      <c r="F76" s="81"/>
      <c r="G76" s="82"/>
      <c r="H76" s="82"/>
      <c r="I76" s="82"/>
      <c r="J76" s="82"/>
      <c r="K76" s="82"/>
      <c r="L76" s="82"/>
      <c r="M76" s="82"/>
    </row>
    <row r="77" spans="1:13" x14ac:dyDescent="0.25">
      <c r="A77" s="108">
        <v>38</v>
      </c>
      <c r="B77" s="109" t="s">
        <v>131</v>
      </c>
      <c r="C77" s="125" t="str">
        <f>IF(ISNUMBER(A77),IF(ISERROR(MATCH(A77,Programa!#REF!,0)),"Nunca",(INDEX(Programa!$A:$A,12)-D77)/7&amp;" semanas"),"")</f>
        <v>Nunca</v>
      </c>
      <c r="D77" s="121" t="str">
        <f ca="1">IF(ISNUMBER(A77),IF(ISERROR(MATCH(A77,Programa!#REF!,0)),"",INDIRECT(ADDRESS(12+MATCH(A77,Programa!#REF!,0)-MOD(12+MATCH(A77,Programa!#REF!,0),12),1,,,"Programa"))),"")</f>
        <v/>
      </c>
      <c r="E77" s="81"/>
      <c r="F77" s="81"/>
      <c r="G77" s="82"/>
      <c r="H77" s="82"/>
      <c r="I77" s="82"/>
      <c r="J77" s="82"/>
      <c r="K77" s="82"/>
      <c r="L77" s="82"/>
      <c r="M77" s="82"/>
    </row>
    <row r="78" spans="1:13" x14ac:dyDescent="0.25">
      <c r="A78" s="108">
        <v>39</v>
      </c>
      <c r="B78" s="109" t="s">
        <v>132</v>
      </c>
      <c r="C78" s="125" t="str">
        <f>IF(ISNUMBER(A78),IF(ISERROR(MATCH(A78,Programa!#REF!,0)),"Nunca",(INDEX(Programa!$A:$A,12)-D78)/7&amp;" semanas"),"")</f>
        <v>Nunca</v>
      </c>
      <c r="D78" s="121" t="str">
        <f ca="1">IF(ISNUMBER(A78),IF(ISERROR(MATCH(A78,Programa!#REF!,0)),"",INDIRECT(ADDRESS(12+MATCH(A78,Programa!#REF!,0)-MOD(12+MATCH(A78,Programa!#REF!,0),12),1,,,"Programa"))),"")</f>
        <v/>
      </c>
      <c r="E78" s="81"/>
      <c r="F78" s="81"/>
      <c r="G78" s="82"/>
      <c r="H78" s="82"/>
      <c r="I78" s="82"/>
      <c r="J78" s="82"/>
      <c r="K78" s="82"/>
      <c r="L78" s="82"/>
      <c r="M78" s="82"/>
    </row>
    <row r="79" spans="1:13" x14ac:dyDescent="0.25">
      <c r="A79" s="108">
        <v>39</v>
      </c>
      <c r="B79" s="109" t="s">
        <v>133</v>
      </c>
      <c r="C79" s="125" t="str">
        <f>IF(ISNUMBER(A79),IF(ISERROR(MATCH(A79,Programa!#REF!,0)),"Nunca",(INDEX(Programa!$A:$A,12)-D79)/7&amp;" semanas"),"")</f>
        <v>Nunca</v>
      </c>
      <c r="D79" s="121" t="str">
        <f ca="1">IF(ISNUMBER(A79),IF(ISERROR(MATCH(A79,Programa!#REF!,0)),"",INDIRECT(ADDRESS(12+MATCH(A79,Programa!#REF!,0)-MOD(12+MATCH(A79,Programa!#REF!,0),12),1,,,"Programa"))),"")</f>
        <v/>
      </c>
      <c r="E79" s="81"/>
      <c r="F79" s="81"/>
      <c r="G79" s="82"/>
      <c r="H79" s="82"/>
      <c r="I79" s="82"/>
      <c r="J79" s="82"/>
      <c r="K79" s="82"/>
      <c r="L79" s="82"/>
      <c r="M79" s="82"/>
    </row>
    <row r="80" spans="1:13" x14ac:dyDescent="0.25">
      <c r="A80" s="108">
        <v>40</v>
      </c>
      <c r="B80" s="109" t="s">
        <v>134</v>
      </c>
      <c r="C80" s="125" t="str">
        <f>IF(ISNUMBER(A80),IF(ISERROR(MATCH(A80,Programa!#REF!,0)),"Nunca",(INDEX(Programa!$A:$A,12)-D80)/7&amp;" semanas"),"")</f>
        <v>Nunca</v>
      </c>
      <c r="D80" s="121" t="str">
        <f ca="1">IF(ISNUMBER(A80),IF(ISERROR(MATCH(A80,Programa!#REF!,0)),"",INDIRECT(ADDRESS(12+MATCH(A80,Programa!#REF!,0)-MOD(12+MATCH(A80,Programa!#REF!,0),12),1,,,"Programa"))),"")</f>
        <v/>
      </c>
      <c r="E80" s="81"/>
      <c r="F80" s="81"/>
      <c r="G80" s="82"/>
      <c r="H80" s="82"/>
      <c r="I80" s="82"/>
      <c r="J80" s="82"/>
      <c r="K80" s="82"/>
      <c r="L80" s="82"/>
      <c r="M80" s="82"/>
    </row>
    <row r="81" spans="1:13" x14ac:dyDescent="0.25">
      <c r="A81" s="108">
        <v>40</v>
      </c>
      <c r="B81" s="109" t="s">
        <v>135</v>
      </c>
      <c r="C81" s="125" t="str">
        <f>IF(ISNUMBER(A81),IF(ISERROR(MATCH(A81,Programa!#REF!,0)),"Nunca",(INDEX(Programa!$A:$A,12)-D81)/7&amp;" semanas"),"")</f>
        <v>Nunca</v>
      </c>
      <c r="D81" s="121" t="str">
        <f ca="1">IF(ISNUMBER(A81),IF(ISERROR(MATCH(A81,Programa!#REF!,0)),"",INDIRECT(ADDRESS(12+MATCH(A81,Programa!#REF!,0)-MOD(12+MATCH(A81,Programa!#REF!,0),12),1,,,"Programa"))),"")</f>
        <v/>
      </c>
      <c r="E81" s="81"/>
      <c r="F81" s="81"/>
      <c r="G81" s="82"/>
      <c r="H81" s="82"/>
      <c r="I81" s="82"/>
      <c r="J81" s="82"/>
      <c r="K81" s="82"/>
      <c r="L81" s="82"/>
      <c r="M81" s="82"/>
    </row>
    <row r="82" spans="1:13" x14ac:dyDescent="0.25">
      <c r="A82" s="108">
        <v>41</v>
      </c>
      <c r="B82" s="109" t="s">
        <v>136</v>
      </c>
      <c r="C82" s="125" t="str">
        <f>IF(ISNUMBER(A82),IF(ISERROR(MATCH(A82,Programa!#REF!,0)),"Nunca",(INDEX(Programa!$A:$A,12)-D82)/7&amp;" semanas"),"")</f>
        <v>Nunca</v>
      </c>
      <c r="D82" s="121" t="str">
        <f ca="1">IF(ISNUMBER(A82),IF(ISERROR(MATCH(A82,Programa!#REF!,0)),"",INDIRECT(ADDRESS(12+MATCH(A82,Programa!#REF!,0)-MOD(12+MATCH(A82,Programa!#REF!,0),12),1,,,"Programa"))),"")</f>
        <v/>
      </c>
      <c r="E82" s="81"/>
      <c r="F82" s="81"/>
      <c r="G82" s="82"/>
      <c r="H82" s="82"/>
      <c r="I82" s="82"/>
      <c r="J82" s="82"/>
      <c r="K82" s="82"/>
      <c r="L82" s="82"/>
      <c r="M82" s="82"/>
    </row>
    <row r="83" spans="1:13" x14ac:dyDescent="0.25">
      <c r="A83" s="108">
        <v>41</v>
      </c>
      <c r="B83" s="109" t="s">
        <v>137</v>
      </c>
      <c r="C83" s="125" t="str">
        <f>IF(ISNUMBER(A83),IF(ISERROR(MATCH(A83,Programa!#REF!,0)),"Nunca",(INDEX(Programa!$A:$A,12)-D83)/7&amp;" semanas"),"")</f>
        <v>Nunca</v>
      </c>
      <c r="D83" s="121" t="str">
        <f ca="1">IF(ISNUMBER(A83),IF(ISERROR(MATCH(A83,Programa!#REF!,0)),"",INDIRECT(ADDRESS(12+MATCH(A83,Programa!#REF!,0)-MOD(12+MATCH(A83,Programa!#REF!,0),12),1,,,"Programa"))),"")</f>
        <v/>
      </c>
      <c r="E83" s="81"/>
      <c r="F83" s="81"/>
      <c r="G83" s="82"/>
      <c r="H83" s="82"/>
      <c r="I83" s="82"/>
      <c r="J83" s="82"/>
      <c r="K83" s="82"/>
      <c r="L83" s="82"/>
      <c r="M83" s="82"/>
    </row>
    <row r="84" spans="1:13" x14ac:dyDescent="0.25">
      <c r="A84" s="108">
        <v>42</v>
      </c>
      <c r="B84" s="109" t="s">
        <v>138</v>
      </c>
      <c r="C84" s="125" t="str">
        <f>IF(ISNUMBER(A84),IF(ISERROR(MATCH(A84,Programa!#REF!,0)),"Nunca",(INDEX(Programa!$A:$A,12)-D84)/7&amp;" semanas"),"")</f>
        <v>Nunca</v>
      </c>
      <c r="D84" s="121" t="str">
        <f ca="1">IF(ISNUMBER(A84),IF(ISERROR(MATCH(A84,Programa!#REF!,0)),"",INDIRECT(ADDRESS(12+MATCH(A84,Programa!#REF!,0)-MOD(12+MATCH(A84,Programa!#REF!,0),12),1,,,"Programa"))),"")</f>
        <v/>
      </c>
      <c r="E84" s="81"/>
      <c r="F84" s="81"/>
      <c r="G84" s="82"/>
      <c r="H84" s="82"/>
      <c r="I84" s="82"/>
      <c r="J84" s="82"/>
      <c r="K84" s="82"/>
      <c r="L84" s="82"/>
      <c r="M84" s="82"/>
    </row>
    <row r="85" spans="1:13" x14ac:dyDescent="0.25">
      <c r="A85" s="108">
        <v>42</v>
      </c>
      <c r="B85" s="109" t="s">
        <v>139</v>
      </c>
      <c r="C85" s="125" t="str">
        <f>IF(ISNUMBER(A85),IF(ISERROR(MATCH(A85,Programa!#REF!,0)),"Nunca",(INDEX(Programa!$A:$A,12)-D85)/7&amp;" semanas"),"")</f>
        <v>Nunca</v>
      </c>
      <c r="D85" s="121" t="str">
        <f ca="1">IF(ISNUMBER(A85),IF(ISERROR(MATCH(A85,Programa!#REF!,0)),"",INDIRECT(ADDRESS(12+MATCH(A85,Programa!#REF!,0)-MOD(12+MATCH(A85,Programa!#REF!,0),12),1,,,"Programa"))),"")</f>
        <v/>
      </c>
      <c r="E85" s="81"/>
      <c r="F85" s="81"/>
      <c r="G85" s="82"/>
      <c r="H85" s="82"/>
      <c r="I85" s="82"/>
      <c r="J85" s="82"/>
      <c r="K85" s="82"/>
      <c r="L85" s="82"/>
      <c r="M85" s="82"/>
    </row>
    <row r="86" spans="1:13" x14ac:dyDescent="0.25">
      <c r="A86" s="108">
        <v>43</v>
      </c>
      <c r="B86" s="109" t="s">
        <v>140</v>
      </c>
      <c r="C86" s="125" t="str">
        <f>IF(ISNUMBER(A86),IF(ISERROR(MATCH(A86,Programa!#REF!,0)),"Nunca",(INDEX(Programa!$A:$A,12)-D86)/7&amp;" semanas"),"")</f>
        <v>Nunca</v>
      </c>
      <c r="D86" s="121" t="str">
        <f ca="1">IF(ISNUMBER(A86),IF(ISERROR(MATCH(A86,Programa!#REF!,0)),"",INDIRECT(ADDRESS(12+MATCH(A86,Programa!#REF!,0)-MOD(12+MATCH(A86,Programa!#REF!,0),12),1,,,"Programa"))),"")</f>
        <v/>
      </c>
      <c r="E86" s="81"/>
      <c r="F86" s="81"/>
      <c r="G86" s="82"/>
      <c r="H86" s="82"/>
      <c r="I86" s="82"/>
      <c r="J86" s="82"/>
      <c r="K86" s="82"/>
      <c r="L86" s="82"/>
      <c r="M86" s="82"/>
    </row>
    <row r="87" spans="1:13" x14ac:dyDescent="0.25">
      <c r="A87" s="108">
        <v>43</v>
      </c>
      <c r="B87" s="109" t="s">
        <v>141</v>
      </c>
      <c r="C87" s="125" t="str">
        <f>IF(ISNUMBER(A87),IF(ISERROR(MATCH(A87,Programa!#REF!,0)),"Nunca",(INDEX(Programa!$A:$A,12)-D87)/7&amp;" semanas"),"")</f>
        <v>Nunca</v>
      </c>
      <c r="D87" s="121" t="str">
        <f ca="1">IF(ISNUMBER(A87),IF(ISERROR(MATCH(A87,Programa!#REF!,0)),"",INDIRECT(ADDRESS(12+MATCH(A87,Programa!#REF!,0)-MOD(12+MATCH(A87,Programa!#REF!,0),12),1,,,"Programa"))),"")</f>
        <v/>
      </c>
      <c r="E87" s="81"/>
      <c r="F87" s="81"/>
      <c r="G87" s="82"/>
      <c r="H87" s="82"/>
      <c r="I87" s="82"/>
      <c r="J87" s="82"/>
      <c r="K87" s="82"/>
      <c r="L87" s="82"/>
      <c r="M87" s="82"/>
    </row>
    <row r="88" spans="1:13" x14ac:dyDescent="0.25">
      <c r="A88" s="108">
        <v>44</v>
      </c>
      <c r="B88" s="109" t="s">
        <v>142</v>
      </c>
      <c r="C88" s="125" t="str">
        <f>IF(ISNUMBER(A88),IF(ISERROR(MATCH(A88,Programa!#REF!,0)),"Nunca",(INDEX(Programa!$A:$A,12)-D88)/7&amp;" semanas"),"")</f>
        <v>Nunca</v>
      </c>
      <c r="D88" s="121" t="str">
        <f ca="1">IF(ISNUMBER(A88),IF(ISERROR(MATCH(A88,Programa!#REF!,0)),"",INDIRECT(ADDRESS(12+MATCH(A88,Programa!#REF!,0)-MOD(12+MATCH(A88,Programa!#REF!,0),12),1,,,"Programa"))),"")</f>
        <v/>
      </c>
      <c r="E88" s="81"/>
      <c r="F88" s="81"/>
      <c r="G88" s="82"/>
      <c r="H88" s="82"/>
      <c r="I88" s="82"/>
      <c r="J88" s="82"/>
      <c r="K88" s="82"/>
      <c r="L88" s="82"/>
      <c r="M88" s="82"/>
    </row>
    <row r="89" spans="1:13" x14ac:dyDescent="0.25">
      <c r="A89" s="108">
        <v>44</v>
      </c>
      <c r="B89" s="109" t="s">
        <v>143</v>
      </c>
      <c r="C89" s="125" t="str">
        <f>IF(ISNUMBER(A89),IF(ISERROR(MATCH(A89,Programa!#REF!,0)),"Nunca",(INDEX(Programa!$A:$A,12)-D89)/7&amp;" semanas"),"")</f>
        <v>Nunca</v>
      </c>
      <c r="D89" s="121" t="str">
        <f ca="1">IF(ISNUMBER(A89),IF(ISERROR(MATCH(A89,Programa!#REF!,0)),"",INDIRECT(ADDRESS(12+MATCH(A89,Programa!#REF!,0)-MOD(12+MATCH(A89,Programa!#REF!,0),12),1,,,"Programa"))),"")</f>
        <v/>
      </c>
      <c r="E89" s="81"/>
      <c r="F89" s="81"/>
      <c r="G89" s="82"/>
      <c r="H89" s="82"/>
      <c r="I89" s="82"/>
      <c r="J89" s="82"/>
      <c r="K89" s="82"/>
      <c r="L89" s="82"/>
      <c r="M89" s="82"/>
    </row>
    <row r="90" spans="1:13" x14ac:dyDescent="0.25">
      <c r="A90" s="108">
        <v>45</v>
      </c>
      <c r="B90" s="109" t="s">
        <v>144</v>
      </c>
      <c r="C90" s="125" t="str">
        <f>IF(ISNUMBER(A90),IF(ISERROR(MATCH(A90,Programa!#REF!,0)),"Nunca",(INDEX(Programa!$A:$A,12)-D90)/7&amp;" semanas"),"")</f>
        <v>Nunca</v>
      </c>
      <c r="D90" s="121" t="str">
        <f ca="1">IF(ISNUMBER(A90),IF(ISERROR(MATCH(A90,Programa!#REF!,0)),"",INDIRECT(ADDRESS(12+MATCH(A90,Programa!#REF!,0)-MOD(12+MATCH(A90,Programa!#REF!,0),12),1,,,"Programa"))),"")</f>
        <v/>
      </c>
      <c r="E90" s="81"/>
      <c r="F90" s="81"/>
      <c r="G90" s="82"/>
      <c r="H90" s="82"/>
      <c r="I90" s="82"/>
      <c r="J90" s="82"/>
      <c r="K90" s="82"/>
      <c r="L90" s="82"/>
      <c r="M90" s="82"/>
    </row>
    <row r="91" spans="1:13" x14ac:dyDescent="0.25">
      <c r="A91" s="108">
        <v>45</v>
      </c>
      <c r="B91" s="109" t="s">
        <v>145</v>
      </c>
      <c r="C91" s="125" t="str">
        <f>IF(ISNUMBER(A91),IF(ISERROR(MATCH(A91,Programa!#REF!,0)),"Nunca",(INDEX(Programa!$A:$A,12)-D91)/7&amp;" semanas"),"")</f>
        <v>Nunca</v>
      </c>
      <c r="D91" s="121" t="str">
        <f ca="1">IF(ISNUMBER(A91),IF(ISERROR(MATCH(A91,Programa!#REF!,0)),"",INDIRECT(ADDRESS(12+MATCH(A91,Programa!#REF!,0)-MOD(12+MATCH(A91,Programa!#REF!,0),12),1,,,"Programa"))),"")</f>
        <v/>
      </c>
      <c r="E91" s="81"/>
      <c r="F91" s="81"/>
      <c r="G91" s="82"/>
      <c r="H91" s="82"/>
      <c r="I91" s="82"/>
      <c r="J91" s="82"/>
      <c r="K91" s="82"/>
      <c r="L91" s="82"/>
      <c r="M91" s="82"/>
    </row>
    <row r="92" spans="1:13" x14ac:dyDescent="0.25">
      <c r="A92" s="108">
        <v>46</v>
      </c>
      <c r="B92" s="109" t="s">
        <v>146</v>
      </c>
      <c r="C92" s="125" t="str">
        <f>IF(ISNUMBER(A92),IF(ISERROR(MATCH(A92,Programa!#REF!,0)),"Nunca",(INDEX(Programa!$A:$A,12)-D92)/7&amp;" semanas"),"")</f>
        <v>Nunca</v>
      </c>
      <c r="D92" s="121" t="str">
        <f ca="1">IF(ISNUMBER(A92),IF(ISERROR(MATCH(A92,Programa!#REF!,0)),"",INDIRECT(ADDRESS(12+MATCH(A92,Programa!#REF!,0)-MOD(12+MATCH(A92,Programa!#REF!,0),12),1,,,"Programa"))),"")</f>
        <v/>
      </c>
      <c r="E92" s="81"/>
      <c r="F92" s="81"/>
      <c r="G92" s="82"/>
      <c r="H92" s="82"/>
      <c r="I92" s="82"/>
      <c r="J92" s="82"/>
      <c r="K92" s="82"/>
      <c r="L92" s="82"/>
      <c r="M92" s="82"/>
    </row>
    <row r="93" spans="1:13" x14ac:dyDescent="0.25">
      <c r="A93" s="108">
        <v>46</v>
      </c>
      <c r="B93" s="109" t="s">
        <v>147</v>
      </c>
      <c r="C93" s="125" t="str">
        <f>IF(ISNUMBER(A93),IF(ISERROR(MATCH(A93,Programa!#REF!,0)),"Nunca",(INDEX(Programa!$A:$A,12)-D93)/7&amp;" semanas"),"")</f>
        <v>Nunca</v>
      </c>
      <c r="D93" s="121" t="str">
        <f ca="1">IF(ISNUMBER(A93),IF(ISERROR(MATCH(A93,Programa!#REF!,0)),"",INDIRECT(ADDRESS(12+MATCH(A93,Programa!#REF!,0)-MOD(12+MATCH(A93,Programa!#REF!,0),12),1,,,"Programa"))),"")</f>
        <v/>
      </c>
      <c r="E93" s="81"/>
      <c r="F93" s="81"/>
      <c r="G93" s="82"/>
      <c r="H93" s="82"/>
      <c r="I93" s="82"/>
      <c r="J93" s="82"/>
      <c r="K93" s="82"/>
      <c r="L93" s="82"/>
      <c r="M93" s="82"/>
    </row>
    <row r="94" spans="1:13" x14ac:dyDescent="0.25">
      <c r="A94" s="108">
        <v>47</v>
      </c>
      <c r="B94" s="109" t="s">
        <v>148</v>
      </c>
      <c r="C94" s="125" t="str">
        <f>IF(ISNUMBER(A94),IF(ISERROR(MATCH(A94,Programa!#REF!,0)),"Nunca",(INDEX(Programa!$A:$A,12)-D94)/7&amp;" semanas"),"")</f>
        <v>Nunca</v>
      </c>
      <c r="D94" s="121" t="str">
        <f ca="1">IF(ISNUMBER(A94),IF(ISERROR(MATCH(A94,Programa!#REF!,0)),"",INDIRECT(ADDRESS(12+MATCH(A94,Programa!#REF!,0)-MOD(12+MATCH(A94,Programa!#REF!,0),12),1,,,"Programa"))),"")</f>
        <v/>
      </c>
      <c r="E94" s="81"/>
      <c r="F94" s="81"/>
      <c r="G94" s="82"/>
      <c r="H94" s="82"/>
      <c r="I94" s="82"/>
      <c r="J94" s="82"/>
      <c r="K94" s="82"/>
      <c r="L94" s="82"/>
      <c r="M94" s="82"/>
    </row>
    <row r="95" spans="1:13" x14ac:dyDescent="0.25">
      <c r="A95" s="108">
        <v>47</v>
      </c>
      <c r="B95" s="109" t="s">
        <v>149</v>
      </c>
      <c r="C95" s="125" t="str">
        <f>IF(ISNUMBER(A95),IF(ISERROR(MATCH(A95,Programa!#REF!,0)),"Nunca",(INDEX(Programa!$A:$A,12)-D95)/7&amp;" semanas"),"")</f>
        <v>Nunca</v>
      </c>
      <c r="D95" s="121" t="str">
        <f ca="1">IF(ISNUMBER(A95),IF(ISERROR(MATCH(A95,Programa!#REF!,0)),"",INDIRECT(ADDRESS(12+MATCH(A95,Programa!#REF!,0)-MOD(12+MATCH(A95,Programa!#REF!,0),12),1,,,"Programa"))),"")</f>
        <v/>
      </c>
      <c r="E95" s="81"/>
      <c r="F95" s="81"/>
      <c r="G95" s="82"/>
      <c r="H95" s="82"/>
      <c r="I95" s="82"/>
      <c r="J95" s="82"/>
      <c r="K95" s="82"/>
      <c r="L95" s="82"/>
      <c r="M95" s="82"/>
    </row>
    <row r="96" spans="1:13" x14ac:dyDescent="0.25">
      <c r="A96" s="108">
        <v>48</v>
      </c>
      <c r="B96" s="109" t="s">
        <v>150</v>
      </c>
      <c r="C96" s="125" t="str">
        <f>IF(ISNUMBER(A96),IF(ISERROR(MATCH(A96,Programa!#REF!,0)),"Nunca",(INDEX(Programa!$A:$A,12)-D96)/7&amp;" semanas"),"")</f>
        <v>Nunca</v>
      </c>
      <c r="D96" s="121" t="str">
        <f ca="1">IF(ISNUMBER(A96),IF(ISERROR(MATCH(A96,Programa!#REF!,0)),"",INDIRECT(ADDRESS(12+MATCH(A96,Programa!#REF!,0)-MOD(12+MATCH(A96,Programa!#REF!,0),12),1,,,"Programa"))),"")</f>
        <v/>
      </c>
      <c r="E96" s="81"/>
      <c r="F96" s="81"/>
      <c r="G96" s="82"/>
      <c r="H96" s="82"/>
      <c r="I96" s="82"/>
      <c r="J96" s="82"/>
      <c r="K96" s="82"/>
      <c r="L96" s="82"/>
      <c r="M96" s="82"/>
    </row>
    <row r="97" spans="1:13" x14ac:dyDescent="0.25">
      <c r="A97" s="108">
        <v>48</v>
      </c>
      <c r="B97" s="109" t="s">
        <v>151</v>
      </c>
      <c r="C97" s="125" t="str">
        <f>IF(ISNUMBER(A97),IF(ISERROR(MATCH(A97,Programa!#REF!,0)),"Nunca",(INDEX(Programa!$A:$A,12)-D97)/7&amp;" semanas"),"")</f>
        <v>Nunca</v>
      </c>
      <c r="D97" s="121" t="str">
        <f ca="1">IF(ISNUMBER(A97),IF(ISERROR(MATCH(A97,Programa!#REF!,0)),"",INDIRECT(ADDRESS(12+MATCH(A97,Programa!#REF!,0)-MOD(12+MATCH(A97,Programa!#REF!,0),12),1,,,"Programa"))),"")</f>
        <v/>
      </c>
      <c r="E97" s="81"/>
      <c r="F97" s="81"/>
      <c r="G97" s="82"/>
      <c r="H97" s="82"/>
      <c r="I97" s="82"/>
      <c r="J97" s="82"/>
      <c r="K97" s="82"/>
      <c r="L97" s="82"/>
      <c r="M97" s="82"/>
    </row>
    <row r="98" spans="1:13" x14ac:dyDescent="0.25">
      <c r="A98" s="108">
        <v>49</v>
      </c>
      <c r="B98" s="109" t="s">
        <v>152</v>
      </c>
      <c r="C98" s="125" t="str">
        <f>IF(ISNUMBER(A98),IF(ISERROR(MATCH(A98,Programa!#REF!,0)),"Nunca",(INDEX(Programa!$A:$A,12)-D98)/7&amp;" semanas"),"")</f>
        <v>Nunca</v>
      </c>
      <c r="D98" s="121" t="str">
        <f ca="1">IF(ISNUMBER(A98),IF(ISERROR(MATCH(A98,Programa!#REF!,0)),"",INDIRECT(ADDRESS(12+MATCH(A98,Programa!#REF!,0)-MOD(12+MATCH(A98,Programa!#REF!,0),12),1,,,"Programa"))),"")</f>
        <v/>
      </c>
      <c r="E98" s="81"/>
      <c r="F98" s="81"/>
      <c r="G98" s="82"/>
      <c r="H98" s="82"/>
      <c r="I98" s="82"/>
      <c r="J98" s="82"/>
      <c r="K98" s="82"/>
      <c r="L98" s="82"/>
      <c r="M98" s="82"/>
    </row>
    <row r="99" spans="1:13" x14ac:dyDescent="0.25">
      <c r="A99" s="108">
        <v>49</v>
      </c>
      <c r="B99" s="109" t="s">
        <v>153</v>
      </c>
      <c r="C99" s="125" t="str">
        <f>IF(ISNUMBER(A99),IF(ISERROR(MATCH(A99,Programa!#REF!,0)),"Nunca",(INDEX(Programa!$A:$A,12)-D99)/7&amp;" semanas"),"")</f>
        <v>Nunca</v>
      </c>
      <c r="D99" s="121" t="str">
        <f ca="1">IF(ISNUMBER(A99),IF(ISERROR(MATCH(A99,Programa!#REF!,0)),"",INDIRECT(ADDRESS(12+MATCH(A99,Programa!#REF!,0)-MOD(12+MATCH(A99,Programa!#REF!,0),12),1,,,"Programa"))),"")</f>
        <v/>
      </c>
      <c r="E99" s="81"/>
      <c r="F99" s="81"/>
      <c r="G99" s="82"/>
      <c r="H99" s="82"/>
      <c r="I99" s="82"/>
      <c r="J99" s="82"/>
      <c r="K99" s="82"/>
      <c r="L99" s="82"/>
      <c r="M99" s="82"/>
    </row>
    <row r="100" spans="1:13" x14ac:dyDescent="0.25">
      <c r="A100" s="108">
        <v>50</v>
      </c>
      <c r="B100" s="109" t="s">
        <v>154</v>
      </c>
      <c r="C100" s="125" t="str">
        <f>IF(ISNUMBER(A100),IF(ISERROR(MATCH(A100,Programa!#REF!,0)),"Nunca",(INDEX(Programa!$A:$A,12)-D100)/7&amp;" semanas"),"")</f>
        <v>Nunca</v>
      </c>
      <c r="D100" s="121" t="str">
        <f ca="1">IF(ISNUMBER(A100),IF(ISERROR(MATCH(A100,Programa!#REF!,0)),"",INDIRECT(ADDRESS(12+MATCH(A100,Programa!#REF!,0)-MOD(12+MATCH(A100,Programa!#REF!,0),12),1,,,"Programa"))),"")</f>
        <v/>
      </c>
      <c r="E100" s="81"/>
      <c r="F100" s="81"/>
      <c r="G100" s="82"/>
      <c r="H100" s="82"/>
      <c r="I100" s="82"/>
      <c r="J100" s="82"/>
      <c r="K100" s="82"/>
      <c r="L100" s="82"/>
      <c r="M100" s="82"/>
    </row>
    <row r="101" spans="1:13" x14ac:dyDescent="0.25">
      <c r="A101" s="108">
        <v>50</v>
      </c>
      <c r="B101" s="109" t="s">
        <v>155</v>
      </c>
      <c r="C101" s="125" t="str">
        <f>IF(ISNUMBER(A101),IF(ISERROR(MATCH(A101,Programa!#REF!,0)),"Nunca",(INDEX(Programa!$A:$A,12)-D101)/7&amp;" semanas"),"")</f>
        <v>Nunca</v>
      </c>
      <c r="D101" s="121" t="str">
        <f ca="1">IF(ISNUMBER(A101),IF(ISERROR(MATCH(A101,Programa!#REF!,0)),"",INDIRECT(ADDRESS(12+MATCH(A101,Programa!#REF!,0)-MOD(12+MATCH(A101,Programa!#REF!,0),12),1,,,"Programa"))),"")</f>
        <v/>
      </c>
      <c r="E101" s="81"/>
      <c r="F101" s="81"/>
      <c r="G101" s="82"/>
      <c r="H101" s="82"/>
      <c r="I101" s="82"/>
      <c r="J101" s="82"/>
      <c r="K101" s="82"/>
      <c r="L101" s="82"/>
      <c r="M101" s="82"/>
    </row>
    <row r="102" spans="1:13" x14ac:dyDescent="0.25">
      <c r="A102" s="108">
        <v>51</v>
      </c>
      <c r="B102" s="109" t="s">
        <v>156</v>
      </c>
      <c r="C102" s="125" t="str">
        <f>IF(ISNUMBER(A102),IF(ISERROR(MATCH(A102,Programa!#REF!,0)),"Nunca",(INDEX(Programa!$A:$A,12)-D102)/7&amp;" semanas"),"")</f>
        <v>Nunca</v>
      </c>
      <c r="D102" s="121" t="str">
        <f ca="1">IF(ISNUMBER(A102),IF(ISERROR(MATCH(A102,Programa!#REF!,0)),"",INDIRECT(ADDRESS(12+MATCH(A102,Programa!#REF!,0)-MOD(12+MATCH(A102,Programa!#REF!,0),12),1,,,"Programa"))),"")</f>
        <v/>
      </c>
      <c r="E102" s="81"/>
      <c r="F102" s="81"/>
      <c r="G102" s="82"/>
      <c r="H102" s="82"/>
      <c r="I102" s="82"/>
      <c r="J102" s="82"/>
      <c r="K102" s="82"/>
      <c r="L102" s="82"/>
      <c r="M102" s="82"/>
    </row>
    <row r="103" spans="1:13" x14ac:dyDescent="0.25">
      <c r="A103" s="108">
        <v>51</v>
      </c>
      <c r="B103" s="109" t="s">
        <v>157</v>
      </c>
      <c r="C103" s="125" t="str">
        <f>IF(ISNUMBER(A103),IF(ISERROR(MATCH(A103,Programa!#REF!,0)),"Nunca",(INDEX(Programa!$A:$A,12)-D103)/7&amp;" semanas"),"")</f>
        <v>Nunca</v>
      </c>
      <c r="D103" s="121" t="str">
        <f ca="1">IF(ISNUMBER(A103),IF(ISERROR(MATCH(A103,Programa!#REF!,0)),"",INDIRECT(ADDRESS(12+MATCH(A103,Programa!#REF!,0)-MOD(12+MATCH(A103,Programa!#REF!,0),12),1,,,"Programa"))),"")</f>
        <v/>
      </c>
      <c r="E103" s="81"/>
      <c r="F103" s="81"/>
      <c r="G103" s="82"/>
      <c r="H103" s="82"/>
      <c r="I103" s="82"/>
      <c r="J103" s="82"/>
      <c r="K103" s="82"/>
      <c r="L103" s="82"/>
      <c r="M103" s="82"/>
    </row>
    <row r="104" spans="1:13" x14ac:dyDescent="0.25">
      <c r="A104" s="108">
        <v>52</v>
      </c>
      <c r="B104" s="109" t="s">
        <v>158</v>
      </c>
      <c r="C104" s="125" t="str">
        <f>IF(ISNUMBER(A104),IF(ISERROR(MATCH(A104,Programa!#REF!,0)),"Nunca",(INDEX(Programa!$A:$A,12)-D104)/7&amp;" semanas"),"")</f>
        <v>Nunca</v>
      </c>
      <c r="D104" s="121" t="str">
        <f ca="1">IF(ISNUMBER(A104),IF(ISERROR(MATCH(A104,Programa!#REF!,0)),"",INDIRECT(ADDRESS(12+MATCH(A104,Programa!#REF!,0)-MOD(12+MATCH(A104,Programa!#REF!,0),12),1,,,"Programa"))),"")</f>
        <v/>
      </c>
      <c r="E104" s="81"/>
      <c r="F104" s="81"/>
      <c r="G104" s="82"/>
      <c r="H104" s="82"/>
      <c r="I104" s="82"/>
      <c r="J104" s="82"/>
      <c r="K104" s="82"/>
      <c r="L104" s="82"/>
      <c r="M104" s="82"/>
    </row>
    <row r="105" spans="1:13" x14ac:dyDescent="0.25">
      <c r="A105" s="108">
        <v>52</v>
      </c>
      <c r="B105" s="109" t="s">
        <v>159</v>
      </c>
      <c r="C105" s="125" t="str">
        <f>IF(ISNUMBER(A105),IF(ISERROR(MATCH(A105,Programa!#REF!,0)),"Nunca",(INDEX(Programa!$A:$A,12)-D105)/7&amp;" semanas"),"")</f>
        <v>Nunca</v>
      </c>
      <c r="D105" s="121" t="str">
        <f ca="1">IF(ISNUMBER(A105),IF(ISERROR(MATCH(A105,Programa!#REF!,0)),"",INDIRECT(ADDRESS(12+MATCH(A105,Programa!#REF!,0)-MOD(12+MATCH(A105,Programa!#REF!,0),12),1,,,"Programa"))),"")</f>
        <v/>
      </c>
      <c r="E105" s="81"/>
      <c r="F105" s="81"/>
      <c r="G105" s="82"/>
      <c r="H105" s="82"/>
      <c r="I105" s="82"/>
      <c r="J105" s="82"/>
      <c r="K105" s="82"/>
      <c r="L105" s="82"/>
      <c r="M105" s="82"/>
    </row>
    <row r="106" spans="1:13" x14ac:dyDescent="0.25">
      <c r="A106" s="108">
        <v>53</v>
      </c>
      <c r="B106" s="109" t="s">
        <v>160</v>
      </c>
      <c r="C106" s="125" t="str">
        <f>IF(ISNUMBER(A106),IF(ISERROR(MATCH(A106,Programa!#REF!,0)),"Nunca",(INDEX(Programa!$A:$A,12)-D106)/7&amp;" semanas"),"")</f>
        <v>Nunca</v>
      </c>
      <c r="D106" s="121" t="str">
        <f ca="1">IF(ISNUMBER(A106),IF(ISERROR(MATCH(A106,Programa!#REF!,0)),"",INDIRECT(ADDRESS(12+MATCH(A106,Programa!#REF!,0)-MOD(12+MATCH(A106,Programa!#REF!,0),12),1,,,"Programa"))),"")</f>
        <v/>
      </c>
      <c r="E106" s="81"/>
      <c r="F106" s="81"/>
      <c r="G106" s="82"/>
      <c r="H106" s="82"/>
      <c r="I106" s="82"/>
      <c r="J106" s="82"/>
      <c r="K106" s="82"/>
      <c r="L106" s="82"/>
      <c r="M106" s="82"/>
    </row>
    <row r="107" spans="1:13" x14ac:dyDescent="0.25">
      <c r="A107" s="108">
        <v>53</v>
      </c>
      <c r="B107" s="109" t="s">
        <v>161</v>
      </c>
      <c r="C107" s="125" t="str">
        <f>IF(ISNUMBER(A107),IF(ISERROR(MATCH(A107,Programa!#REF!,0)),"Nunca",(INDEX(Programa!$A:$A,12)-D107)/7&amp;" semanas"),"")</f>
        <v>Nunca</v>
      </c>
      <c r="D107" s="121" t="str">
        <f ca="1">IF(ISNUMBER(A107),IF(ISERROR(MATCH(A107,Programa!#REF!,0)),"",INDIRECT(ADDRESS(12+MATCH(A107,Programa!#REF!,0)-MOD(12+MATCH(A107,Programa!#REF!,0),12),1,,,"Programa"))),"")</f>
        <v/>
      </c>
      <c r="E107" s="81"/>
      <c r="F107" s="81"/>
      <c r="G107" s="82"/>
      <c r="H107" s="82"/>
      <c r="I107" s="82"/>
      <c r="J107" s="82"/>
      <c r="K107" s="82"/>
      <c r="L107" s="82"/>
      <c r="M107" s="82"/>
    </row>
    <row r="108" spans="1:13" x14ac:dyDescent="0.25">
      <c r="A108" s="108">
        <v>54</v>
      </c>
      <c r="B108" s="109" t="s">
        <v>162</v>
      </c>
      <c r="C108" s="125" t="str">
        <f>IF(ISNUMBER(A108),IF(ISERROR(MATCH(A108,Programa!#REF!,0)),"Nunca",(INDEX(Programa!$A:$A,12)-D108)/7&amp;" semanas"),"")</f>
        <v>Nunca</v>
      </c>
      <c r="D108" s="121" t="str">
        <f ca="1">IF(ISNUMBER(A108),IF(ISERROR(MATCH(A108,Programa!#REF!,0)),"",INDIRECT(ADDRESS(12+MATCH(A108,Programa!#REF!,0)-MOD(12+MATCH(A108,Programa!#REF!,0),12),1,,,"Programa"))),"")</f>
        <v/>
      </c>
      <c r="E108" s="81"/>
      <c r="F108" s="81"/>
      <c r="G108" s="82"/>
      <c r="H108" s="82"/>
      <c r="I108" s="82"/>
      <c r="J108" s="82"/>
      <c r="K108" s="82"/>
      <c r="L108" s="82"/>
      <c r="M108" s="82"/>
    </row>
    <row r="109" spans="1:13" x14ac:dyDescent="0.25">
      <c r="A109" s="108">
        <v>54</v>
      </c>
      <c r="B109" s="109" t="s">
        <v>163</v>
      </c>
      <c r="C109" s="125" t="str">
        <f>IF(ISNUMBER(A109),IF(ISERROR(MATCH(A109,Programa!#REF!,0)),"Nunca",(INDEX(Programa!$A:$A,12)-D109)/7&amp;" semanas"),"")</f>
        <v>Nunca</v>
      </c>
      <c r="D109" s="121" t="str">
        <f ca="1">IF(ISNUMBER(A109),IF(ISERROR(MATCH(A109,Programa!#REF!,0)),"",INDIRECT(ADDRESS(12+MATCH(A109,Programa!#REF!,0)-MOD(12+MATCH(A109,Programa!#REF!,0),12),1,,,"Programa"))),"")</f>
        <v/>
      </c>
      <c r="E109" s="81"/>
      <c r="F109" s="81"/>
      <c r="G109" s="82"/>
      <c r="H109" s="82"/>
      <c r="I109" s="82"/>
      <c r="J109" s="82"/>
      <c r="K109" s="82"/>
      <c r="L109" s="82"/>
      <c r="M109" s="82"/>
    </row>
    <row r="110" spans="1:13" x14ac:dyDescent="0.25">
      <c r="A110" s="108">
        <v>55</v>
      </c>
      <c r="B110" s="109" t="s">
        <v>164</v>
      </c>
      <c r="C110" s="125" t="str">
        <f>IF(ISNUMBER(A110),IF(ISERROR(MATCH(A110,Programa!#REF!,0)),"Nunca",(INDEX(Programa!$A:$A,12)-D110)/7&amp;" semanas"),"")</f>
        <v>Nunca</v>
      </c>
      <c r="D110" s="121" t="str">
        <f ca="1">IF(ISNUMBER(A110),IF(ISERROR(MATCH(A110,Programa!#REF!,0)),"",INDIRECT(ADDRESS(12+MATCH(A110,Programa!#REF!,0)-MOD(12+MATCH(A110,Programa!#REF!,0),12),1,,,"Programa"))),"")</f>
        <v/>
      </c>
      <c r="E110" s="81"/>
      <c r="F110" s="81"/>
      <c r="G110" s="82"/>
      <c r="H110" s="82"/>
      <c r="I110" s="82"/>
      <c r="J110" s="82"/>
      <c r="K110" s="82"/>
      <c r="L110" s="82"/>
      <c r="M110" s="82"/>
    </row>
    <row r="111" spans="1:13" x14ac:dyDescent="0.25">
      <c r="A111" s="108">
        <v>55</v>
      </c>
      <c r="B111" s="109" t="s">
        <v>165</v>
      </c>
      <c r="C111" s="125" t="str">
        <f>IF(ISNUMBER(A111),IF(ISERROR(MATCH(A111,Programa!#REF!,0)),"Nunca",(INDEX(Programa!$A:$A,12)-D111)/7&amp;" semanas"),"")</f>
        <v>Nunca</v>
      </c>
      <c r="D111" s="121" t="str">
        <f ca="1">IF(ISNUMBER(A111),IF(ISERROR(MATCH(A111,Programa!#REF!,0)),"",INDIRECT(ADDRESS(12+MATCH(A111,Programa!#REF!,0)-MOD(12+MATCH(A111,Programa!#REF!,0),12),1,,,"Programa"))),"")</f>
        <v/>
      </c>
      <c r="E111" s="81"/>
      <c r="F111" s="81"/>
      <c r="G111" s="82"/>
      <c r="H111" s="82"/>
      <c r="I111" s="82"/>
      <c r="J111" s="82"/>
      <c r="K111" s="82"/>
      <c r="L111" s="82"/>
      <c r="M111" s="82"/>
    </row>
    <row r="112" spans="1:13" x14ac:dyDescent="0.25">
      <c r="A112" s="108">
        <v>56</v>
      </c>
      <c r="B112" s="109" t="s">
        <v>166</v>
      </c>
      <c r="C112" s="125" t="str">
        <f>IF(ISNUMBER(A112),IF(ISERROR(MATCH(A112,Programa!#REF!,0)),"Nunca",(INDEX(Programa!$A:$A,12)-D112)/7&amp;" semanas"),"")</f>
        <v>Nunca</v>
      </c>
      <c r="D112" s="121" t="str">
        <f ca="1">IF(ISNUMBER(A112),IF(ISERROR(MATCH(A112,Programa!#REF!,0)),"",INDIRECT(ADDRESS(12+MATCH(A112,Programa!#REF!,0)-MOD(12+MATCH(A112,Programa!#REF!,0),12),1,,,"Programa"))),"")</f>
        <v/>
      </c>
      <c r="E112" s="81"/>
      <c r="F112" s="81"/>
      <c r="G112" s="82"/>
      <c r="H112" s="82"/>
      <c r="I112" s="82"/>
      <c r="J112" s="82"/>
      <c r="K112" s="82"/>
      <c r="L112" s="82"/>
      <c r="M112" s="82"/>
    </row>
    <row r="113" spans="1:13" x14ac:dyDescent="0.25">
      <c r="A113" s="108">
        <v>56</v>
      </c>
      <c r="B113" s="109" t="s">
        <v>167</v>
      </c>
      <c r="C113" s="125" t="str">
        <f>IF(ISNUMBER(A113),IF(ISERROR(MATCH(A113,Programa!#REF!,0)),"Nunca",(INDEX(Programa!$A:$A,12)-D113)/7&amp;" semanas"),"")</f>
        <v>Nunca</v>
      </c>
      <c r="D113" s="121" t="str">
        <f ca="1">IF(ISNUMBER(A113),IF(ISERROR(MATCH(A113,Programa!#REF!,0)),"",INDIRECT(ADDRESS(12+MATCH(A113,Programa!#REF!,0)-MOD(12+MATCH(A113,Programa!#REF!,0),12),1,,,"Programa"))),"")</f>
        <v/>
      </c>
      <c r="E113" s="81"/>
      <c r="F113" s="81"/>
      <c r="G113" s="82"/>
      <c r="H113" s="82"/>
      <c r="I113" s="82"/>
      <c r="J113" s="82"/>
      <c r="K113" s="82"/>
      <c r="L113" s="82"/>
      <c r="M113" s="82"/>
    </row>
    <row r="114" spans="1:13" x14ac:dyDescent="0.25">
      <c r="A114" s="108">
        <v>57</v>
      </c>
      <c r="B114" s="109" t="s">
        <v>168</v>
      </c>
      <c r="C114" s="125" t="str">
        <f>IF(ISNUMBER(A114),IF(ISERROR(MATCH(A114,Programa!#REF!,0)),"Nunca",(INDEX(Programa!$A:$A,12)-D114)/7&amp;" semanas"),"")</f>
        <v>Nunca</v>
      </c>
      <c r="D114" s="121" t="str">
        <f ca="1">IF(ISNUMBER(A114),IF(ISERROR(MATCH(A114,Programa!#REF!,0)),"",INDIRECT(ADDRESS(12+MATCH(A114,Programa!#REF!,0)-MOD(12+MATCH(A114,Programa!#REF!,0),12),1,,,"Programa"))),"")</f>
        <v/>
      </c>
      <c r="E114" s="81"/>
      <c r="F114" s="81"/>
      <c r="G114" s="82"/>
      <c r="H114" s="82"/>
      <c r="I114" s="82"/>
      <c r="J114" s="82"/>
      <c r="K114" s="82"/>
      <c r="L114" s="82"/>
      <c r="M114" s="82"/>
    </row>
    <row r="115" spans="1:13" x14ac:dyDescent="0.25">
      <c r="A115" s="108">
        <v>57</v>
      </c>
      <c r="B115" s="109" t="s">
        <v>169</v>
      </c>
      <c r="C115" s="125" t="str">
        <f>IF(ISNUMBER(A115),IF(ISERROR(MATCH(A115,Programa!#REF!,0)),"Nunca",(INDEX(Programa!$A:$A,12)-D115)/7&amp;" semanas"),"")</f>
        <v>Nunca</v>
      </c>
      <c r="D115" s="121" t="str">
        <f ca="1">IF(ISNUMBER(A115),IF(ISERROR(MATCH(A115,Programa!#REF!,0)),"",INDIRECT(ADDRESS(12+MATCH(A115,Programa!#REF!,0)-MOD(12+MATCH(A115,Programa!#REF!,0),12),1,,,"Programa"))),"")</f>
        <v/>
      </c>
      <c r="E115" s="81"/>
      <c r="F115" s="81"/>
      <c r="G115" s="82"/>
      <c r="H115" s="82"/>
      <c r="I115" s="82"/>
      <c r="J115" s="82"/>
      <c r="K115" s="82"/>
      <c r="L115" s="82"/>
      <c r="M115" s="82"/>
    </row>
    <row r="116" spans="1:13" x14ac:dyDescent="0.25">
      <c r="A116" s="108">
        <v>58</v>
      </c>
      <c r="B116" s="109" t="s">
        <v>170</v>
      </c>
      <c r="C116" s="125" t="str">
        <f>IF(ISNUMBER(A116),IF(ISERROR(MATCH(A116,Programa!#REF!,0)),"Nunca",(INDEX(Programa!$A:$A,12)-D116)/7&amp;" semanas"),"")</f>
        <v>Nunca</v>
      </c>
      <c r="D116" s="121" t="str">
        <f ca="1">IF(ISNUMBER(A116),IF(ISERROR(MATCH(A116,Programa!#REF!,0)),"",INDIRECT(ADDRESS(12+MATCH(A116,Programa!#REF!,0)-MOD(12+MATCH(A116,Programa!#REF!,0),12),1,,,"Programa"))),"")</f>
        <v/>
      </c>
      <c r="E116" s="81"/>
      <c r="F116" s="81"/>
      <c r="G116" s="82"/>
      <c r="H116" s="82"/>
      <c r="I116" s="82"/>
      <c r="J116" s="82"/>
      <c r="K116" s="82"/>
      <c r="L116" s="82"/>
      <c r="M116" s="82"/>
    </row>
    <row r="117" spans="1:13" x14ac:dyDescent="0.25">
      <c r="A117" s="108">
        <v>58</v>
      </c>
      <c r="B117" s="109" t="s">
        <v>171</v>
      </c>
      <c r="C117" s="125" t="str">
        <f>IF(ISNUMBER(A117),IF(ISERROR(MATCH(A117,Programa!#REF!,0)),"Nunca",(INDEX(Programa!$A:$A,12)-D117)/7&amp;" semanas"),"")</f>
        <v>Nunca</v>
      </c>
      <c r="D117" s="121" t="str">
        <f ca="1">IF(ISNUMBER(A117),IF(ISERROR(MATCH(A117,Programa!#REF!,0)),"",INDIRECT(ADDRESS(12+MATCH(A117,Programa!#REF!,0)-MOD(12+MATCH(A117,Programa!#REF!,0),12),1,,,"Programa"))),"")</f>
        <v/>
      </c>
      <c r="E117" s="81"/>
      <c r="F117" s="81"/>
      <c r="G117" s="82"/>
      <c r="H117" s="82"/>
      <c r="I117" s="82"/>
      <c r="J117" s="82"/>
      <c r="K117" s="82"/>
      <c r="L117" s="82"/>
      <c r="M117" s="82"/>
    </row>
    <row r="118" spans="1:13" x14ac:dyDescent="0.25">
      <c r="A118" s="108">
        <v>59</v>
      </c>
      <c r="B118" s="109" t="s">
        <v>172</v>
      </c>
      <c r="C118" s="125" t="str">
        <f>IF(ISNUMBER(A118),IF(ISERROR(MATCH(A118,Programa!#REF!,0)),"Nunca",(INDEX(Programa!$A:$A,12)-D118)/7&amp;" semanas"),"")</f>
        <v>Nunca</v>
      </c>
      <c r="D118" s="121" t="str">
        <f ca="1">IF(ISNUMBER(A118),IF(ISERROR(MATCH(A118,Programa!#REF!,0)),"",INDIRECT(ADDRESS(12+MATCH(A118,Programa!#REF!,0)-MOD(12+MATCH(A118,Programa!#REF!,0),12),1,,,"Programa"))),"")</f>
        <v/>
      </c>
      <c r="E118" s="81"/>
      <c r="F118" s="81"/>
      <c r="G118" s="82"/>
      <c r="H118" s="82"/>
      <c r="I118" s="82"/>
      <c r="J118" s="82"/>
      <c r="K118" s="82"/>
      <c r="L118" s="82"/>
      <c r="M118" s="82"/>
    </row>
    <row r="119" spans="1:13" x14ac:dyDescent="0.25">
      <c r="A119" s="108">
        <v>59</v>
      </c>
      <c r="B119" s="109" t="s">
        <v>173</v>
      </c>
      <c r="C119" s="125" t="str">
        <f>IF(ISNUMBER(A119),IF(ISERROR(MATCH(A119,Programa!#REF!,0)),"Nunca",(INDEX(Programa!$A:$A,12)-D119)/7&amp;" semanas"),"")</f>
        <v>Nunca</v>
      </c>
      <c r="D119" s="121" t="str">
        <f ca="1">IF(ISNUMBER(A119),IF(ISERROR(MATCH(A119,Programa!#REF!,0)),"",INDIRECT(ADDRESS(12+MATCH(A119,Programa!#REF!,0)-MOD(12+MATCH(A119,Programa!#REF!,0),12),1,,,"Programa"))),"")</f>
        <v/>
      </c>
      <c r="E119" s="81"/>
      <c r="F119" s="81"/>
      <c r="G119" s="82"/>
      <c r="H119" s="82"/>
      <c r="I119" s="82"/>
      <c r="J119" s="82"/>
      <c r="K119" s="82"/>
      <c r="L119" s="82"/>
      <c r="M119" s="82"/>
    </row>
    <row r="120" spans="1:13" x14ac:dyDescent="0.25">
      <c r="A120" s="108">
        <v>60</v>
      </c>
      <c r="B120" s="109" t="s">
        <v>174</v>
      </c>
      <c r="C120" s="125" t="str">
        <f>IF(ISNUMBER(A120),IF(ISERROR(MATCH(A120,Programa!#REF!,0)),"Nunca",(INDEX(Programa!$A:$A,12)-D120)/7&amp;" semanas"),"")</f>
        <v>Nunca</v>
      </c>
      <c r="D120" s="121" t="str">
        <f ca="1">IF(ISNUMBER(A120),IF(ISERROR(MATCH(A120,Programa!#REF!,0)),"",INDIRECT(ADDRESS(12+MATCH(A120,Programa!#REF!,0)-MOD(12+MATCH(A120,Programa!#REF!,0),12),1,,,"Programa"))),"")</f>
        <v/>
      </c>
      <c r="E120" s="81"/>
      <c r="F120" s="81"/>
      <c r="G120" s="82"/>
      <c r="H120" s="82"/>
      <c r="I120" s="82"/>
      <c r="J120" s="82"/>
      <c r="K120" s="82"/>
      <c r="L120" s="82"/>
      <c r="M120" s="82"/>
    </row>
    <row r="121" spans="1:13" x14ac:dyDescent="0.25">
      <c r="A121" s="108">
        <v>60</v>
      </c>
      <c r="B121" s="109" t="s">
        <v>175</v>
      </c>
      <c r="C121" s="125" t="str">
        <f>IF(ISNUMBER(A121),IF(ISERROR(MATCH(A121,Programa!#REF!,0)),"Nunca",(INDEX(Programa!$A:$A,12)-D121)/7&amp;" semanas"),"")</f>
        <v>Nunca</v>
      </c>
      <c r="D121" s="121" t="str">
        <f ca="1">IF(ISNUMBER(A121),IF(ISERROR(MATCH(A121,Programa!#REF!,0)),"",INDIRECT(ADDRESS(12+MATCH(A121,Programa!#REF!,0)-MOD(12+MATCH(A121,Programa!#REF!,0),12),1,,,"Programa"))),"")</f>
        <v/>
      </c>
      <c r="E121" s="81"/>
      <c r="F121" s="81"/>
      <c r="G121" s="82"/>
      <c r="H121" s="82"/>
      <c r="I121" s="82"/>
      <c r="J121" s="82"/>
      <c r="K121" s="82"/>
      <c r="L121" s="82"/>
      <c r="M121" s="82"/>
    </row>
    <row r="122" spans="1:13" x14ac:dyDescent="0.25">
      <c r="A122" s="108">
        <v>61</v>
      </c>
      <c r="B122" s="109" t="s">
        <v>176</v>
      </c>
      <c r="C122" s="125" t="str">
        <f>IF(ISNUMBER(A122),IF(ISERROR(MATCH(A122,Programa!#REF!,0)),"Nunca",(INDEX(Programa!$A:$A,12)-D122)/7&amp;" semanas"),"")</f>
        <v>Nunca</v>
      </c>
      <c r="D122" s="121" t="str">
        <f ca="1">IF(ISNUMBER(A122),IF(ISERROR(MATCH(A122,Programa!#REF!,0)),"",INDIRECT(ADDRESS(12+MATCH(A122,Programa!#REF!,0)-MOD(12+MATCH(A122,Programa!#REF!,0),12),1,,,"Programa"))),"")</f>
        <v/>
      </c>
      <c r="E122" s="81"/>
      <c r="F122" s="81"/>
      <c r="G122" s="82"/>
      <c r="H122" s="82"/>
      <c r="I122" s="82"/>
      <c r="J122" s="82"/>
      <c r="K122" s="82"/>
      <c r="L122" s="82"/>
      <c r="M122" s="82"/>
    </row>
    <row r="123" spans="1:13" x14ac:dyDescent="0.25">
      <c r="A123" s="108">
        <v>61</v>
      </c>
      <c r="B123" s="109" t="s">
        <v>177</v>
      </c>
      <c r="C123" s="125" t="str">
        <f>IF(ISNUMBER(A123),IF(ISERROR(MATCH(A123,Programa!#REF!,0)),"Nunca",(INDEX(Programa!$A:$A,12)-D123)/7&amp;" semanas"),"")</f>
        <v>Nunca</v>
      </c>
      <c r="D123" s="121" t="str">
        <f ca="1">IF(ISNUMBER(A123),IF(ISERROR(MATCH(A123,Programa!#REF!,0)),"",INDIRECT(ADDRESS(12+MATCH(A123,Programa!#REF!,0)-MOD(12+MATCH(A123,Programa!#REF!,0),12),1,,,"Programa"))),"")</f>
        <v/>
      </c>
      <c r="E123" s="81"/>
      <c r="F123" s="81"/>
      <c r="G123" s="82"/>
      <c r="H123" s="82"/>
      <c r="I123" s="82"/>
      <c r="J123" s="82"/>
      <c r="K123" s="82"/>
      <c r="L123" s="82"/>
      <c r="M123" s="82"/>
    </row>
    <row r="124" spans="1:13" x14ac:dyDescent="0.25">
      <c r="A124" s="108">
        <v>62</v>
      </c>
      <c r="B124" s="109" t="s">
        <v>178</v>
      </c>
      <c r="C124" s="125" t="str">
        <f>IF(ISNUMBER(A124),IF(ISERROR(MATCH(A124,Programa!#REF!,0)),"Nunca",(INDEX(Programa!$A:$A,12)-D124)/7&amp;" semanas"),"")</f>
        <v>Nunca</v>
      </c>
      <c r="D124" s="121" t="str">
        <f ca="1">IF(ISNUMBER(A124),IF(ISERROR(MATCH(A124,Programa!#REF!,0)),"",INDIRECT(ADDRESS(12+MATCH(A124,Programa!#REF!,0)-MOD(12+MATCH(A124,Programa!#REF!,0),12),1,,,"Programa"))),"")</f>
        <v/>
      </c>
      <c r="E124" s="81"/>
      <c r="F124" s="81"/>
      <c r="G124" s="82"/>
      <c r="H124" s="82"/>
      <c r="I124" s="82"/>
      <c r="J124" s="82"/>
      <c r="K124" s="82"/>
      <c r="L124" s="82"/>
      <c r="M124" s="82"/>
    </row>
    <row r="125" spans="1:13" x14ac:dyDescent="0.25">
      <c r="A125" s="108">
        <v>62</v>
      </c>
      <c r="B125" s="109" t="s">
        <v>179</v>
      </c>
      <c r="C125" s="125" t="str">
        <f>IF(ISNUMBER(A125),IF(ISERROR(MATCH(A125,Programa!#REF!,0)),"Nunca",(INDEX(Programa!$A:$A,12)-D125)/7&amp;" semanas"),"")</f>
        <v>Nunca</v>
      </c>
      <c r="D125" s="121" t="str">
        <f ca="1">IF(ISNUMBER(A125),IF(ISERROR(MATCH(A125,Programa!#REF!,0)),"",INDIRECT(ADDRESS(12+MATCH(A125,Programa!#REF!,0)-MOD(12+MATCH(A125,Programa!#REF!,0),12),1,,,"Programa"))),"")</f>
        <v/>
      </c>
      <c r="E125" s="81"/>
      <c r="F125" s="81"/>
      <c r="G125" s="82"/>
      <c r="H125" s="82"/>
      <c r="I125" s="82"/>
      <c r="J125" s="82"/>
      <c r="K125" s="82"/>
      <c r="L125" s="82"/>
      <c r="M125" s="82"/>
    </row>
    <row r="126" spans="1:13" x14ac:dyDescent="0.25">
      <c r="A126" s="108">
        <v>63</v>
      </c>
      <c r="B126" s="109" t="s">
        <v>180</v>
      </c>
      <c r="C126" s="125" t="str">
        <f>IF(ISNUMBER(A126),IF(ISERROR(MATCH(A126,Programa!#REF!,0)),"Nunca",(INDEX(Programa!$A:$A,12)-D126)/7&amp;" semanas"),"")</f>
        <v>Nunca</v>
      </c>
      <c r="D126" s="121" t="str">
        <f ca="1">IF(ISNUMBER(A126),IF(ISERROR(MATCH(A126,Programa!#REF!,0)),"",INDIRECT(ADDRESS(12+MATCH(A126,Programa!#REF!,0)-MOD(12+MATCH(A126,Programa!#REF!,0),12),1,,,"Programa"))),"")</f>
        <v/>
      </c>
      <c r="E126" s="81"/>
      <c r="F126" s="81"/>
      <c r="G126" s="82"/>
      <c r="H126" s="82"/>
      <c r="I126" s="82"/>
      <c r="J126" s="82"/>
      <c r="K126" s="82"/>
      <c r="L126" s="82"/>
      <c r="M126" s="82"/>
    </row>
    <row r="127" spans="1:13" x14ac:dyDescent="0.25">
      <c r="A127" s="108">
        <v>63</v>
      </c>
      <c r="B127" s="109" t="s">
        <v>181</v>
      </c>
      <c r="C127" s="125" t="str">
        <f>IF(ISNUMBER(A127),IF(ISERROR(MATCH(A127,Programa!#REF!,0)),"Nunca",(INDEX(Programa!$A:$A,12)-D127)/7&amp;" semanas"),"")</f>
        <v>Nunca</v>
      </c>
      <c r="D127" s="121" t="str">
        <f ca="1">IF(ISNUMBER(A127),IF(ISERROR(MATCH(A127,Programa!#REF!,0)),"",INDIRECT(ADDRESS(12+MATCH(A127,Programa!#REF!,0)-MOD(12+MATCH(A127,Programa!#REF!,0),12),1,,,"Programa"))),"")</f>
        <v/>
      </c>
      <c r="E127" s="81"/>
      <c r="F127" s="81"/>
      <c r="G127" s="82"/>
      <c r="H127" s="82"/>
      <c r="I127" s="82"/>
      <c r="J127" s="82"/>
      <c r="K127" s="82"/>
      <c r="L127" s="82"/>
      <c r="M127" s="82"/>
    </row>
    <row r="128" spans="1:13" x14ac:dyDescent="0.25">
      <c r="A128" s="108">
        <v>64</v>
      </c>
      <c r="B128" s="109" t="s">
        <v>182</v>
      </c>
      <c r="C128" s="125" t="str">
        <f>IF(ISNUMBER(A128),IF(ISERROR(MATCH(A128,Programa!#REF!,0)),"Nunca",(INDEX(Programa!$A:$A,12)-D128)/7&amp;" semanas"),"")</f>
        <v>Nunca</v>
      </c>
      <c r="D128" s="121" t="str">
        <f ca="1">IF(ISNUMBER(A128),IF(ISERROR(MATCH(A128,Programa!#REF!,0)),"",INDIRECT(ADDRESS(12+MATCH(A128,Programa!#REF!,0)-MOD(12+MATCH(A128,Programa!#REF!,0),12),1,,,"Programa"))),"")</f>
        <v/>
      </c>
      <c r="E128" s="81"/>
      <c r="F128" s="81"/>
      <c r="G128" s="82"/>
      <c r="H128" s="82"/>
      <c r="I128" s="82"/>
      <c r="J128" s="82"/>
      <c r="K128" s="82"/>
      <c r="L128" s="82"/>
      <c r="M128" s="82"/>
    </row>
    <row r="129" spans="1:13" x14ac:dyDescent="0.25">
      <c r="A129" s="108">
        <v>64</v>
      </c>
      <c r="B129" s="109" t="s">
        <v>183</v>
      </c>
      <c r="C129" s="125" t="str">
        <f>IF(ISNUMBER(A129),IF(ISERROR(MATCH(A129,Programa!#REF!,0)),"Nunca",(INDEX(Programa!$A:$A,12)-D129)/7&amp;" semanas"),"")</f>
        <v>Nunca</v>
      </c>
      <c r="D129" s="121" t="str">
        <f ca="1">IF(ISNUMBER(A129),IF(ISERROR(MATCH(A129,Programa!#REF!,0)),"",INDIRECT(ADDRESS(12+MATCH(A129,Programa!#REF!,0)-MOD(12+MATCH(A129,Programa!#REF!,0),12),1,,,"Programa"))),"")</f>
        <v/>
      </c>
      <c r="E129" s="81"/>
      <c r="F129" s="81"/>
      <c r="G129" s="82"/>
      <c r="H129" s="82"/>
      <c r="I129" s="82"/>
      <c r="J129" s="82"/>
      <c r="K129" s="82"/>
      <c r="L129" s="82"/>
      <c r="M129" s="82"/>
    </row>
    <row r="130" spans="1:13" x14ac:dyDescent="0.25">
      <c r="A130" s="108">
        <v>65</v>
      </c>
      <c r="B130" s="109" t="s">
        <v>184</v>
      </c>
      <c r="C130" s="125" t="str">
        <f>IF(ISNUMBER(A130),IF(ISERROR(MATCH(A130,Programa!#REF!,0)),"Nunca",(INDEX(Programa!$A:$A,12)-D130)/7&amp;" semanas"),"")</f>
        <v>Nunca</v>
      </c>
      <c r="D130" s="121" t="str">
        <f ca="1">IF(ISNUMBER(A130),IF(ISERROR(MATCH(A130,Programa!#REF!,0)),"",INDIRECT(ADDRESS(12+MATCH(A130,Programa!#REF!,0)-MOD(12+MATCH(A130,Programa!#REF!,0),12),1,,,"Programa"))),"")</f>
        <v/>
      </c>
      <c r="E130" s="81"/>
      <c r="F130" s="81"/>
      <c r="G130" s="82"/>
      <c r="H130" s="82"/>
      <c r="I130" s="82"/>
      <c r="J130" s="82"/>
      <c r="K130" s="82"/>
      <c r="L130" s="82"/>
      <c r="M130" s="82"/>
    </row>
    <row r="131" spans="1:13" x14ac:dyDescent="0.25">
      <c r="A131" s="108">
        <v>65</v>
      </c>
      <c r="B131" s="109" t="s">
        <v>185</v>
      </c>
      <c r="C131" s="125" t="str">
        <f>IF(ISNUMBER(A131),IF(ISERROR(MATCH(A131,Programa!#REF!,0)),"Nunca",(INDEX(Programa!$A:$A,12)-D131)/7&amp;" semanas"),"")</f>
        <v>Nunca</v>
      </c>
      <c r="D131" s="121" t="str">
        <f ca="1">IF(ISNUMBER(A131),IF(ISERROR(MATCH(A131,Programa!#REF!,0)),"",INDIRECT(ADDRESS(12+MATCH(A131,Programa!#REF!,0)-MOD(12+MATCH(A131,Programa!#REF!,0),12),1,,,"Programa"))),"")</f>
        <v/>
      </c>
      <c r="E131" s="81"/>
      <c r="F131" s="81"/>
      <c r="G131" s="82"/>
      <c r="H131" s="82"/>
      <c r="I131" s="82"/>
      <c r="J131" s="82"/>
      <c r="K131" s="82"/>
      <c r="L131" s="82"/>
      <c r="M131" s="82"/>
    </row>
    <row r="132" spans="1:13" x14ac:dyDescent="0.25">
      <c r="A132" s="108">
        <v>66</v>
      </c>
      <c r="B132" s="109" t="s">
        <v>186</v>
      </c>
      <c r="C132" s="125" t="str">
        <f>IF(ISNUMBER(A132),IF(ISERROR(MATCH(A132,Programa!#REF!,0)),"Nunca",(INDEX(Programa!$A:$A,12)-D132)/7&amp;" semanas"),"")</f>
        <v>Nunca</v>
      </c>
      <c r="D132" s="121" t="str">
        <f ca="1">IF(ISNUMBER(A132),IF(ISERROR(MATCH(A132,Programa!#REF!,0)),"",INDIRECT(ADDRESS(12+MATCH(A132,Programa!#REF!,0)-MOD(12+MATCH(A132,Programa!#REF!,0),12),1,,,"Programa"))),"")</f>
        <v/>
      </c>
      <c r="E132" s="81"/>
      <c r="F132" s="81"/>
      <c r="G132" s="82"/>
      <c r="H132" s="82"/>
      <c r="I132" s="82"/>
      <c r="J132" s="82"/>
      <c r="K132" s="82"/>
      <c r="L132" s="82"/>
      <c r="M132" s="82"/>
    </row>
    <row r="133" spans="1:13" x14ac:dyDescent="0.25">
      <c r="A133" s="108">
        <v>66</v>
      </c>
      <c r="B133" s="109" t="s">
        <v>187</v>
      </c>
      <c r="C133" s="125" t="str">
        <f>IF(ISNUMBER(A133),IF(ISERROR(MATCH(A133,Programa!#REF!,0)),"Nunca",(INDEX(Programa!$A:$A,12)-D133)/7&amp;" semanas"),"")</f>
        <v>Nunca</v>
      </c>
      <c r="D133" s="121" t="str">
        <f ca="1">IF(ISNUMBER(A133),IF(ISERROR(MATCH(A133,Programa!#REF!,0)),"",INDIRECT(ADDRESS(12+MATCH(A133,Programa!#REF!,0)-MOD(12+MATCH(A133,Programa!#REF!,0),12),1,,,"Programa"))),"")</f>
        <v/>
      </c>
      <c r="E133" s="81"/>
      <c r="F133" s="81"/>
      <c r="G133" s="82"/>
      <c r="H133" s="82"/>
      <c r="I133" s="82"/>
      <c r="J133" s="82"/>
      <c r="K133" s="82"/>
      <c r="L133" s="82"/>
      <c r="M133" s="82"/>
    </row>
    <row r="134" spans="1:13" x14ac:dyDescent="0.25">
      <c r="A134" s="108">
        <v>67</v>
      </c>
      <c r="B134" s="109" t="s">
        <v>188</v>
      </c>
      <c r="C134" s="125" t="str">
        <f>IF(ISNUMBER(A134),IF(ISERROR(MATCH(A134,Programa!#REF!,0)),"Nunca",(INDEX(Programa!$A:$A,12)-D134)/7&amp;" semanas"),"")</f>
        <v>Nunca</v>
      </c>
      <c r="D134" s="121" t="str">
        <f ca="1">IF(ISNUMBER(A134),IF(ISERROR(MATCH(A134,Programa!#REF!,0)),"",INDIRECT(ADDRESS(12+MATCH(A134,Programa!#REF!,0)-MOD(12+MATCH(A134,Programa!#REF!,0),12),1,,,"Programa"))),"")</f>
        <v/>
      </c>
      <c r="E134" s="81"/>
      <c r="F134" s="81"/>
      <c r="G134" s="82"/>
      <c r="H134" s="82"/>
      <c r="I134" s="82"/>
      <c r="J134" s="82"/>
      <c r="K134" s="82"/>
      <c r="L134" s="82"/>
      <c r="M134" s="82"/>
    </row>
    <row r="135" spans="1:13" x14ac:dyDescent="0.25">
      <c r="A135" s="108">
        <v>67</v>
      </c>
      <c r="B135" s="109" t="s">
        <v>189</v>
      </c>
      <c r="C135" s="125" t="str">
        <f>IF(ISNUMBER(A135),IF(ISERROR(MATCH(A135,Programa!#REF!,0)),"Nunca",(INDEX(Programa!$A:$A,12)-D135)/7&amp;" semanas"),"")</f>
        <v>Nunca</v>
      </c>
      <c r="D135" s="121" t="str">
        <f ca="1">IF(ISNUMBER(A135),IF(ISERROR(MATCH(A135,Programa!#REF!,0)),"",INDIRECT(ADDRESS(12+MATCH(A135,Programa!#REF!,0)-MOD(12+MATCH(A135,Programa!#REF!,0),12),1,,,"Programa"))),"")</f>
        <v/>
      </c>
      <c r="E135" s="81"/>
      <c r="F135" s="81"/>
      <c r="G135" s="82"/>
      <c r="H135" s="82"/>
      <c r="I135" s="82"/>
      <c r="J135" s="82"/>
      <c r="K135" s="82"/>
      <c r="L135" s="82"/>
      <c r="M135" s="82"/>
    </row>
    <row r="136" spans="1:13" x14ac:dyDescent="0.25">
      <c r="A136" s="108">
        <v>68</v>
      </c>
      <c r="B136" s="109" t="s">
        <v>190</v>
      </c>
      <c r="C136" s="125" t="str">
        <f>IF(ISNUMBER(A136),IF(ISERROR(MATCH(A136,Programa!#REF!,0)),"Nunca",(INDEX(Programa!$A:$A,12)-D136)/7&amp;" semanas"),"")</f>
        <v>Nunca</v>
      </c>
      <c r="D136" s="121" t="str">
        <f ca="1">IF(ISNUMBER(A136),IF(ISERROR(MATCH(A136,Programa!#REF!,0)),"",INDIRECT(ADDRESS(12+MATCH(A136,Programa!#REF!,0)-MOD(12+MATCH(A136,Programa!#REF!,0),12),1,,,"Programa"))),"")</f>
        <v/>
      </c>
      <c r="E136" s="81"/>
      <c r="F136" s="81"/>
      <c r="G136" s="82"/>
      <c r="H136" s="82"/>
      <c r="I136" s="82"/>
      <c r="J136" s="82"/>
      <c r="K136" s="82"/>
      <c r="L136" s="82"/>
      <c r="M136" s="82"/>
    </row>
    <row r="137" spans="1:13" x14ac:dyDescent="0.25">
      <c r="A137" s="108">
        <v>68</v>
      </c>
      <c r="B137" s="109" t="s">
        <v>191</v>
      </c>
      <c r="C137" s="125" t="str">
        <f>IF(ISNUMBER(A137),IF(ISERROR(MATCH(A137,Programa!#REF!,0)),"Nunca",(INDEX(Programa!$A:$A,12)-D137)/7&amp;" semanas"),"")</f>
        <v>Nunca</v>
      </c>
      <c r="D137" s="121" t="str">
        <f ca="1">IF(ISNUMBER(A137),IF(ISERROR(MATCH(A137,Programa!#REF!,0)),"",INDIRECT(ADDRESS(12+MATCH(A137,Programa!#REF!,0)-MOD(12+MATCH(A137,Programa!#REF!,0),12),1,,,"Programa"))),"")</f>
        <v/>
      </c>
      <c r="E137" s="81"/>
      <c r="F137" s="81"/>
      <c r="G137" s="82"/>
      <c r="H137" s="82"/>
      <c r="I137" s="82"/>
      <c r="J137" s="82"/>
      <c r="K137" s="82"/>
      <c r="L137" s="82"/>
      <c r="M137" s="82"/>
    </row>
    <row r="138" spans="1:13" x14ac:dyDescent="0.25">
      <c r="A138" s="108">
        <v>69</v>
      </c>
      <c r="B138" s="109" t="s">
        <v>192</v>
      </c>
      <c r="C138" s="125" t="str">
        <f>IF(ISNUMBER(A138),IF(ISERROR(MATCH(A138,Programa!#REF!,0)),"Nunca",(INDEX(Programa!$A:$A,12)-D138)/7&amp;" semanas"),"")</f>
        <v>Nunca</v>
      </c>
      <c r="D138" s="121" t="str">
        <f ca="1">IF(ISNUMBER(A138),IF(ISERROR(MATCH(A138,Programa!#REF!,0)),"",INDIRECT(ADDRESS(12+MATCH(A138,Programa!#REF!,0)-MOD(12+MATCH(A138,Programa!#REF!,0),12),1,,,"Programa"))),"")</f>
        <v/>
      </c>
      <c r="E138" s="81"/>
      <c r="F138" s="81"/>
      <c r="G138" s="82"/>
      <c r="H138" s="82"/>
      <c r="I138" s="82"/>
      <c r="J138" s="82"/>
      <c r="K138" s="82"/>
      <c r="L138" s="82"/>
      <c r="M138" s="82"/>
    </row>
    <row r="139" spans="1:13" x14ac:dyDescent="0.25">
      <c r="A139" s="108">
        <v>69</v>
      </c>
      <c r="B139" s="109" t="s">
        <v>193</v>
      </c>
      <c r="C139" s="125" t="str">
        <f>IF(ISNUMBER(A139),IF(ISERROR(MATCH(A139,Programa!#REF!,0)),"Nunca",(INDEX(Programa!$A:$A,12)-D139)/7&amp;" semanas"),"")</f>
        <v>Nunca</v>
      </c>
      <c r="D139" s="121" t="str">
        <f ca="1">IF(ISNUMBER(A139),IF(ISERROR(MATCH(A139,Programa!#REF!,0)),"",INDIRECT(ADDRESS(12+MATCH(A139,Programa!#REF!,0)-MOD(12+MATCH(A139,Programa!#REF!,0),12),1,,,"Programa"))),"")</f>
        <v/>
      </c>
      <c r="E139" s="81"/>
      <c r="F139" s="81"/>
      <c r="G139" s="82"/>
      <c r="H139" s="82"/>
      <c r="I139" s="82"/>
      <c r="J139" s="82"/>
      <c r="K139" s="82"/>
      <c r="L139" s="82"/>
      <c r="M139" s="82"/>
    </row>
    <row r="140" spans="1:13" x14ac:dyDescent="0.25">
      <c r="A140" s="108">
        <v>70</v>
      </c>
      <c r="B140" s="109" t="s">
        <v>194</v>
      </c>
      <c r="C140" s="125" t="str">
        <f>IF(ISNUMBER(A140),IF(ISERROR(MATCH(A140,Programa!#REF!,0)),"Nunca",(INDEX(Programa!$A:$A,12)-D140)/7&amp;" semanas"),"")</f>
        <v>Nunca</v>
      </c>
      <c r="D140" s="121" t="str">
        <f ca="1">IF(ISNUMBER(A140),IF(ISERROR(MATCH(A140,Programa!#REF!,0)),"",INDIRECT(ADDRESS(12+MATCH(A140,Programa!#REF!,0)-MOD(12+MATCH(A140,Programa!#REF!,0),12),1,,,"Programa"))),"")</f>
        <v/>
      </c>
      <c r="E140" s="81"/>
      <c r="F140" s="81"/>
      <c r="G140" s="82"/>
      <c r="H140" s="82"/>
      <c r="I140" s="82"/>
      <c r="J140" s="82"/>
      <c r="K140" s="82"/>
      <c r="L140" s="82"/>
      <c r="M140" s="82"/>
    </row>
    <row r="141" spans="1:13" x14ac:dyDescent="0.25">
      <c r="A141" s="108">
        <v>70</v>
      </c>
      <c r="B141" s="109" t="s">
        <v>195</v>
      </c>
      <c r="C141" s="125" t="str">
        <f>IF(ISNUMBER(A141),IF(ISERROR(MATCH(A141,Programa!#REF!,0)),"Nunca",(INDEX(Programa!$A:$A,12)-D141)/7&amp;" semanas"),"")</f>
        <v>Nunca</v>
      </c>
      <c r="D141" s="121" t="str">
        <f ca="1">IF(ISNUMBER(A141),IF(ISERROR(MATCH(A141,Programa!#REF!,0)),"",INDIRECT(ADDRESS(12+MATCH(A141,Programa!#REF!,0)-MOD(12+MATCH(A141,Programa!#REF!,0),12),1,,,"Programa"))),"")</f>
        <v/>
      </c>
      <c r="E141" s="81"/>
      <c r="F141" s="81"/>
      <c r="G141" s="82"/>
      <c r="H141" s="82"/>
      <c r="I141" s="82"/>
      <c r="J141" s="82"/>
      <c r="K141" s="82"/>
      <c r="L141" s="82"/>
      <c r="M141" s="82"/>
    </row>
    <row r="142" spans="1:13" x14ac:dyDescent="0.25">
      <c r="A142" s="108">
        <v>71</v>
      </c>
      <c r="B142" s="109" t="s">
        <v>196</v>
      </c>
      <c r="C142" s="125" t="str">
        <f>IF(ISNUMBER(A142),IF(ISERROR(MATCH(A142,Programa!#REF!,0)),"Nunca",(INDEX(Programa!$A:$A,12)-D142)/7&amp;" semanas"),"")</f>
        <v>Nunca</v>
      </c>
      <c r="D142" s="121" t="str">
        <f ca="1">IF(ISNUMBER(A142),IF(ISERROR(MATCH(A142,Programa!#REF!,0)),"",INDIRECT(ADDRESS(12+MATCH(A142,Programa!#REF!,0)-MOD(12+MATCH(A142,Programa!#REF!,0),12),1,,,"Programa"))),"")</f>
        <v/>
      </c>
      <c r="E142" s="81"/>
      <c r="F142" s="81"/>
      <c r="G142" s="82"/>
      <c r="H142" s="82"/>
      <c r="I142" s="82"/>
      <c r="J142" s="82"/>
      <c r="K142" s="82"/>
      <c r="L142" s="82"/>
      <c r="M142" s="82"/>
    </row>
    <row r="143" spans="1:13" x14ac:dyDescent="0.25">
      <c r="A143" s="108">
        <v>71</v>
      </c>
      <c r="B143" s="109" t="s">
        <v>197</v>
      </c>
      <c r="C143" s="125" t="str">
        <f>IF(ISNUMBER(A143),IF(ISERROR(MATCH(A143,Programa!#REF!,0)),"Nunca",(INDEX(Programa!$A:$A,12)-D143)/7&amp;" semanas"),"")</f>
        <v>Nunca</v>
      </c>
      <c r="D143" s="121" t="str">
        <f ca="1">IF(ISNUMBER(A143),IF(ISERROR(MATCH(A143,Programa!#REF!,0)),"",INDIRECT(ADDRESS(12+MATCH(A143,Programa!#REF!,0)-MOD(12+MATCH(A143,Programa!#REF!,0),12),1,,,"Programa"))),"")</f>
        <v/>
      </c>
      <c r="E143" s="81"/>
      <c r="F143" s="81"/>
      <c r="G143" s="82"/>
      <c r="H143" s="82"/>
      <c r="I143" s="82"/>
      <c r="J143" s="82"/>
      <c r="K143" s="82"/>
      <c r="L143" s="82"/>
      <c r="M143" s="82"/>
    </row>
    <row r="144" spans="1:13" x14ac:dyDescent="0.25">
      <c r="A144" s="108">
        <v>72</v>
      </c>
      <c r="B144" s="109" t="s">
        <v>198</v>
      </c>
      <c r="C144" s="125" t="str">
        <f>IF(ISNUMBER(A144),IF(ISERROR(MATCH(A144,Programa!#REF!,0)),"Nunca",(INDEX(Programa!$A:$A,12)-D144)/7&amp;" semanas"),"")</f>
        <v>Nunca</v>
      </c>
      <c r="D144" s="121" t="str">
        <f ca="1">IF(ISNUMBER(A144),IF(ISERROR(MATCH(A144,Programa!#REF!,0)),"",INDIRECT(ADDRESS(12+MATCH(A144,Programa!#REF!,0)-MOD(12+MATCH(A144,Programa!#REF!,0),12),1,,,"Programa"))),"")</f>
        <v/>
      </c>
      <c r="E144" s="81"/>
      <c r="F144" s="81"/>
      <c r="G144" s="82"/>
      <c r="H144" s="82"/>
      <c r="I144" s="82"/>
      <c r="J144" s="82"/>
      <c r="K144" s="82"/>
      <c r="L144" s="82"/>
      <c r="M144" s="82"/>
    </row>
    <row r="145" spans="1:13" x14ac:dyDescent="0.25">
      <c r="A145" s="108">
        <v>72</v>
      </c>
      <c r="B145" s="109" t="s">
        <v>199</v>
      </c>
      <c r="C145" s="125" t="str">
        <f>IF(ISNUMBER(A145),IF(ISERROR(MATCH(A145,Programa!#REF!,0)),"Nunca",(INDEX(Programa!$A:$A,12)-D145)/7&amp;" semanas"),"")</f>
        <v>Nunca</v>
      </c>
      <c r="D145" s="121" t="str">
        <f ca="1">IF(ISNUMBER(A145),IF(ISERROR(MATCH(A145,Programa!#REF!,0)),"",INDIRECT(ADDRESS(12+MATCH(A145,Programa!#REF!,0)-MOD(12+MATCH(A145,Programa!#REF!,0),12),1,,,"Programa"))),"")</f>
        <v/>
      </c>
      <c r="E145" s="81"/>
      <c r="F145" s="81"/>
      <c r="G145" s="82"/>
      <c r="H145" s="82"/>
      <c r="I145" s="82"/>
      <c r="J145" s="82"/>
      <c r="K145" s="82"/>
      <c r="L145" s="82"/>
      <c r="M145" s="82"/>
    </row>
    <row r="146" spans="1:13" x14ac:dyDescent="0.25">
      <c r="A146" s="108">
        <v>73</v>
      </c>
      <c r="B146" s="109" t="s">
        <v>200</v>
      </c>
      <c r="C146" s="125" t="str">
        <f>IF(ISNUMBER(A146),IF(ISERROR(MATCH(A146,Programa!#REF!,0)),"Nunca",(INDEX(Programa!$A:$A,12)-D146)/7&amp;" semanas"),"")</f>
        <v>Nunca</v>
      </c>
      <c r="D146" s="121" t="str">
        <f ca="1">IF(ISNUMBER(A146),IF(ISERROR(MATCH(A146,Programa!#REF!,0)),"",INDIRECT(ADDRESS(12+MATCH(A146,Programa!#REF!,0)-MOD(12+MATCH(A146,Programa!#REF!,0),12),1,,,"Programa"))),"")</f>
        <v/>
      </c>
      <c r="E146" s="81"/>
      <c r="F146" s="81"/>
      <c r="G146" s="82"/>
      <c r="H146" s="82"/>
      <c r="I146" s="82"/>
      <c r="J146" s="82"/>
      <c r="K146" s="82"/>
      <c r="L146" s="82"/>
      <c r="M146" s="82"/>
    </row>
    <row r="147" spans="1:13" x14ac:dyDescent="0.25">
      <c r="A147" s="108">
        <v>73</v>
      </c>
      <c r="B147" s="109" t="s">
        <v>201</v>
      </c>
      <c r="C147" s="125" t="str">
        <f>IF(ISNUMBER(A147),IF(ISERROR(MATCH(A147,Programa!#REF!,0)),"Nunca",(INDEX(Programa!$A:$A,12)-D147)/7&amp;" semanas"),"")</f>
        <v>Nunca</v>
      </c>
      <c r="D147" s="121" t="str">
        <f ca="1">IF(ISNUMBER(A147),IF(ISERROR(MATCH(A147,Programa!#REF!,0)),"",INDIRECT(ADDRESS(12+MATCH(A147,Programa!#REF!,0)-MOD(12+MATCH(A147,Programa!#REF!,0),12),1,,,"Programa"))),"")</f>
        <v/>
      </c>
      <c r="E147" s="81"/>
      <c r="F147" s="81"/>
      <c r="G147" s="82"/>
      <c r="H147" s="82"/>
      <c r="I147" s="82"/>
      <c r="J147" s="82"/>
      <c r="K147" s="82"/>
      <c r="L147" s="82"/>
      <c r="M147" s="82"/>
    </row>
    <row r="148" spans="1:13" x14ac:dyDescent="0.25">
      <c r="A148" s="108">
        <v>74</v>
      </c>
      <c r="B148" s="109" t="s">
        <v>202</v>
      </c>
      <c r="C148" s="125" t="str">
        <f>IF(ISNUMBER(A148),IF(ISERROR(MATCH(A148,Programa!#REF!,0)),"Nunca",(INDEX(Programa!$A:$A,12)-D148)/7&amp;" semanas"),"")</f>
        <v>Nunca</v>
      </c>
      <c r="D148" s="121" t="str">
        <f ca="1">IF(ISNUMBER(A148),IF(ISERROR(MATCH(A148,Programa!#REF!,0)),"",INDIRECT(ADDRESS(12+MATCH(A148,Programa!#REF!,0)-MOD(12+MATCH(A148,Programa!#REF!,0),12),1,,,"Programa"))),"")</f>
        <v/>
      </c>
      <c r="E148" s="81"/>
      <c r="F148" s="81"/>
      <c r="G148" s="82"/>
      <c r="H148" s="82"/>
      <c r="I148" s="82"/>
      <c r="J148" s="82"/>
      <c r="K148" s="82"/>
      <c r="L148" s="82"/>
      <c r="M148" s="82"/>
    </row>
    <row r="149" spans="1:13" x14ac:dyDescent="0.25">
      <c r="A149" s="108">
        <v>74</v>
      </c>
      <c r="B149" s="109" t="s">
        <v>203</v>
      </c>
      <c r="C149" s="125" t="str">
        <f>IF(ISNUMBER(A149),IF(ISERROR(MATCH(A149,Programa!#REF!,0)),"Nunca",(INDEX(Programa!$A:$A,12)-D149)/7&amp;" semanas"),"")</f>
        <v>Nunca</v>
      </c>
      <c r="D149" s="121" t="str">
        <f ca="1">IF(ISNUMBER(A149),IF(ISERROR(MATCH(A149,Programa!#REF!,0)),"",INDIRECT(ADDRESS(12+MATCH(A149,Programa!#REF!,0)-MOD(12+MATCH(A149,Programa!#REF!,0),12),1,,,"Programa"))),"")</f>
        <v/>
      </c>
      <c r="E149" s="81"/>
      <c r="F149" s="81"/>
      <c r="G149" s="82"/>
      <c r="H149" s="82"/>
      <c r="I149" s="82"/>
      <c r="J149" s="82"/>
      <c r="K149" s="82"/>
      <c r="L149" s="82"/>
      <c r="M149" s="82"/>
    </row>
    <row r="150" spans="1:13" x14ac:dyDescent="0.25">
      <c r="A150" s="108">
        <v>75</v>
      </c>
      <c r="B150" s="109" t="s">
        <v>204</v>
      </c>
      <c r="C150" s="125" t="str">
        <f>IF(ISNUMBER(A150),IF(ISERROR(MATCH(A150,Programa!#REF!,0)),"Nunca",(INDEX(Programa!$A:$A,12)-D150)/7&amp;" semanas"),"")</f>
        <v>Nunca</v>
      </c>
      <c r="D150" s="121" t="str">
        <f ca="1">IF(ISNUMBER(A150),IF(ISERROR(MATCH(A150,Programa!#REF!,0)),"",INDIRECT(ADDRESS(12+MATCH(A150,Programa!#REF!,0)-MOD(12+MATCH(A150,Programa!#REF!,0),12),1,,,"Programa"))),"")</f>
        <v/>
      </c>
      <c r="E150" s="81"/>
      <c r="F150" s="81"/>
      <c r="G150" s="82"/>
      <c r="H150" s="82"/>
      <c r="I150" s="82"/>
      <c r="J150" s="82"/>
      <c r="K150" s="82"/>
      <c r="L150" s="82"/>
      <c r="M150" s="82"/>
    </row>
    <row r="151" spans="1:13" x14ac:dyDescent="0.25">
      <c r="A151" s="108">
        <v>75</v>
      </c>
      <c r="B151" s="109" t="s">
        <v>205</v>
      </c>
      <c r="C151" s="125" t="str">
        <f>IF(ISNUMBER(A151),IF(ISERROR(MATCH(A151,Programa!#REF!,0)),"Nunca",(INDEX(Programa!$A:$A,12)-D151)/7&amp;" semanas"),"")</f>
        <v>Nunca</v>
      </c>
      <c r="D151" s="121" t="str">
        <f ca="1">IF(ISNUMBER(A151),IF(ISERROR(MATCH(A151,Programa!#REF!,0)),"",INDIRECT(ADDRESS(12+MATCH(A151,Programa!#REF!,0)-MOD(12+MATCH(A151,Programa!#REF!,0),12),1,,,"Programa"))),"")</f>
        <v/>
      </c>
      <c r="E151" s="81"/>
      <c r="F151" s="81"/>
      <c r="G151" s="82"/>
      <c r="H151" s="82"/>
      <c r="I151" s="82"/>
      <c r="J151" s="82"/>
      <c r="K151" s="82"/>
      <c r="L151" s="82"/>
      <c r="M151" s="82"/>
    </row>
    <row r="152" spans="1:13" x14ac:dyDescent="0.25">
      <c r="A152" s="108">
        <v>76</v>
      </c>
      <c r="B152" s="109" t="s">
        <v>206</v>
      </c>
      <c r="C152" s="125" t="str">
        <f>IF(ISNUMBER(A152),IF(ISERROR(MATCH(A152,Programa!#REF!,0)),"Nunca",(INDEX(Programa!$A:$A,12)-D152)/7&amp;" semanas"),"")</f>
        <v>Nunca</v>
      </c>
      <c r="D152" s="121" t="str">
        <f ca="1">IF(ISNUMBER(A152),IF(ISERROR(MATCH(A152,Programa!#REF!,0)),"",INDIRECT(ADDRESS(12+MATCH(A152,Programa!#REF!,0)-MOD(12+MATCH(A152,Programa!#REF!,0),12),1,,,"Programa"))),"")</f>
        <v/>
      </c>
      <c r="E152" s="81"/>
      <c r="F152" s="81"/>
      <c r="G152" s="82"/>
      <c r="H152" s="82"/>
      <c r="I152" s="82"/>
      <c r="J152" s="82"/>
      <c r="K152" s="82"/>
      <c r="L152" s="82"/>
      <c r="M152" s="82"/>
    </row>
    <row r="153" spans="1:13" x14ac:dyDescent="0.25">
      <c r="A153" s="84">
        <v>76</v>
      </c>
      <c r="B153" s="85" t="s">
        <v>207</v>
      </c>
      <c r="C153" s="125" t="str">
        <f>IF(ISNUMBER(A153),IF(ISERROR(MATCH(A153,Programa!#REF!,0)),"Nunca",(INDEX(Programa!$A:$A,12)-D153)/7&amp;" semanas"),"")</f>
        <v>Nunca</v>
      </c>
      <c r="D153" s="121" t="str">
        <f ca="1">IF(ISNUMBER(A153),IF(ISERROR(MATCH(A153,Programa!#REF!,0)),"",INDIRECT(ADDRESS(12+MATCH(A153,Programa!#REF!,0)-MOD(12+MATCH(A153,Programa!#REF!,0),12),1,,,"Programa"))),"")</f>
        <v/>
      </c>
      <c r="E153" s="81"/>
      <c r="F153" s="81"/>
      <c r="G153" s="82"/>
      <c r="H153" s="82"/>
      <c r="I153" s="82"/>
      <c r="J153" s="82"/>
      <c r="K153" s="82"/>
      <c r="L153" s="82"/>
      <c r="M153" s="82"/>
    </row>
    <row r="154" spans="1:13" x14ac:dyDescent="0.25">
      <c r="A154" s="84">
        <v>77</v>
      </c>
      <c r="B154" s="85" t="s">
        <v>208</v>
      </c>
      <c r="C154" s="125" t="str">
        <f>IF(ISNUMBER(A154),IF(ISERROR(MATCH(A154,Programa!#REF!,0)),"Nunca",(INDEX(Programa!$A:$A,12)-D154)/7&amp;" semanas"),"")</f>
        <v>Nunca</v>
      </c>
      <c r="D154" s="121" t="str">
        <f ca="1">IF(ISNUMBER(A154),IF(ISERROR(MATCH(A154,Programa!#REF!,0)),"",INDIRECT(ADDRESS(12+MATCH(A154,Programa!#REF!,0)-MOD(12+MATCH(A154,Programa!#REF!,0),12),1,,,"Programa"))),"")</f>
        <v/>
      </c>
      <c r="E154" s="81"/>
      <c r="F154" s="81"/>
      <c r="G154" s="82"/>
      <c r="H154" s="82"/>
      <c r="I154" s="82"/>
      <c r="J154" s="82"/>
      <c r="K154" s="82"/>
      <c r="L154" s="82"/>
      <c r="M154" s="82"/>
    </row>
    <row r="155" spans="1:13" x14ac:dyDescent="0.25">
      <c r="A155" s="84">
        <v>77</v>
      </c>
      <c r="B155" s="85" t="s">
        <v>209</v>
      </c>
      <c r="C155" s="125" t="str">
        <f>IF(ISNUMBER(A155),IF(ISERROR(MATCH(A155,Programa!#REF!,0)),"Nunca",(INDEX(Programa!$A:$A,12)-D155)/7&amp;" semanas"),"")</f>
        <v>Nunca</v>
      </c>
      <c r="D155" s="121" t="str">
        <f ca="1">IF(ISNUMBER(A155),IF(ISERROR(MATCH(A155,Programa!#REF!,0)),"",INDIRECT(ADDRESS(12+MATCH(A155,Programa!#REF!,0)-MOD(12+MATCH(A155,Programa!#REF!,0),12),1,,,"Programa"))),"")</f>
        <v/>
      </c>
      <c r="E155" s="81"/>
      <c r="F155" s="81"/>
      <c r="G155" s="82"/>
      <c r="H155" s="82"/>
      <c r="I155" s="82"/>
      <c r="J155" s="82"/>
      <c r="K155" s="82"/>
      <c r="L155" s="82"/>
      <c r="M155" s="82"/>
    </row>
    <row r="156" spans="1:13" x14ac:dyDescent="0.25">
      <c r="A156" s="84">
        <v>78</v>
      </c>
      <c r="B156" s="85" t="s">
        <v>210</v>
      </c>
      <c r="C156" s="125" t="str">
        <f>IF(ISNUMBER(A156),IF(ISERROR(MATCH(A156,Programa!#REF!,0)),"Nunca",(INDEX(Programa!$A:$A,12)-D156)/7&amp;" semanas"),"")</f>
        <v>Nunca</v>
      </c>
      <c r="D156" s="121" t="str">
        <f ca="1">IF(ISNUMBER(A156),IF(ISERROR(MATCH(A156,Programa!#REF!,0)),"",INDIRECT(ADDRESS(12+MATCH(A156,Programa!#REF!,0)-MOD(12+MATCH(A156,Programa!#REF!,0),12),1,,,"Programa"))),"")</f>
        <v/>
      </c>
      <c r="E156" s="81"/>
      <c r="F156" s="81"/>
      <c r="G156" s="82"/>
      <c r="H156" s="82"/>
      <c r="I156" s="82"/>
      <c r="J156" s="82"/>
      <c r="K156" s="82"/>
      <c r="L156" s="82"/>
      <c r="M156" s="82"/>
    </row>
    <row r="157" spans="1:13" x14ac:dyDescent="0.25">
      <c r="A157" s="84">
        <v>78</v>
      </c>
      <c r="B157" s="85" t="s">
        <v>211</v>
      </c>
      <c r="C157" s="125" t="str">
        <f>IF(ISNUMBER(A157),IF(ISERROR(MATCH(A157,Programa!#REF!,0)),"Nunca",(INDEX(Programa!$A:$A,12)-D157)/7&amp;" semanas"),"")</f>
        <v>Nunca</v>
      </c>
      <c r="D157" s="121" t="str">
        <f ca="1">IF(ISNUMBER(A157),IF(ISERROR(MATCH(A157,Programa!#REF!,0)),"",INDIRECT(ADDRESS(12+MATCH(A157,Programa!#REF!,0)-MOD(12+MATCH(A157,Programa!#REF!,0),12),1,,,"Programa"))),"")</f>
        <v/>
      </c>
      <c r="E157" s="81"/>
      <c r="F157" s="81"/>
      <c r="G157" s="82"/>
      <c r="H157" s="82"/>
      <c r="I157" s="82"/>
      <c r="J157" s="82"/>
      <c r="K157" s="82"/>
      <c r="L157" s="82"/>
      <c r="M157" s="82"/>
    </row>
    <row r="158" spans="1:13" x14ac:dyDescent="0.25">
      <c r="A158" s="84">
        <v>79</v>
      </c>
      <c r="B158" s="85" t="s">
        <v>212</v>
      </c>
      <c r="C158" s="125" t="str">
        <f>IF(ISNUMBER(A158),IF(ISERROR(MATCH(A158,Programa!#REF!,0)),"Nunca",(INDEX(Programa!$A:$A,12)-D158)/7&amp;" semanas"),"")</f>
        <v>Nunca</v>
      </c>
      <c r="D158" s="121" t="str">
        <f ca="1">IF(ISNUMBER(A158),IF(ISERROR(MATCH(A158,Programa!#REF!,0)),"",INDIRECT(ADDRESS(12+MATCH(A158,Programa!#REF!,0)-MOD(12+MATCH(A158,Programa!#REF!,0),12),1,,,"Programa"))),"")</f>
        <v/>
      </c>
      <c r="E158" s="81"/>
      <c r="F158" s="81"/>
      <c r="G158" s="82"/>
      <c r="H158" s="82"/>
      <c r="I158" s="82"/>
      <c r="J158" s="82"/>
      <c r="K158" s="82"/>
      <c r="L158" s="82"/>
      <c r="M158" s="82"/>
    </row>
    <row r="159" spans="1:13" x14ac:dyDescent="0.25">
      <c r="A159" s="84">
        <v>79</v>
      </c>
      <c r="B159" s="85" t="s">
        <v>213</v>
      </c>
      <c r="C159" s="125" t="str">
        <f>IF(ISNUMBER(A159),IF(ISERROR(MATCH(A159,Programa!#REF!,0)),"Nunca",(INDEX(Programa!$A:$A,12)-D159)/7&amp;" semanas"),"")</f>
        <v>Nunca</v>
      </c>
      <c r="D159" s="121" t="str">
        <f ca="1">IF(ISNUMBER(A159),IF(ISERROR(MATCH(A159,Programa!#REF!,0)),"",INDIRECT(ADDRESS(12+MATCH(A159,Programa!#REF!,0)-MOD(12+MATCH(A159,Programa!#REF!,0),12),1,,,"Programa"))),"")</f>
        <v/>
      </c>
      <c r="E159" s="81"/>
      <c r="F159" s="81"/>
      <c r="G159" s="82"/>
      <c r="H159" s="82"/>
      <c r="I159" s="82"/>
      <c r="J159" s="82"/>
      <c r="K159" s="82"/>
      <c r="L159" s="82"/>
      <c r="M159" s="82"/>
    </row>
    <row r="160" spans="1:13" x14ac:dyDescent="0.25">
      <c r="A160" s="84">
        <v>80</v>
      </c>
      <c r="B160" s="85" t="s">
        <v>214</v>
      </c>
      <c r="C160" s="125" t="str">
        <f>IF(ISNUMBER(A160),IF(ISERROR(MATCH(A160,Programa!#REF!,0)),"Nunca",(INDEX(Programa!$A:$A,12)-D160)/7&amp;" semanas"),"")</f>
        <v>Nunca</v>
      </c>
      <c r="D160" s="121" t="str">
        <f ca="1">IF(ISNUMBER(A160),IF(ISERROR(MATCH(A160,Programa!#REF!,0)),"",INDIRECT(ADDRESS(12+MATCH(A160,Programa!#REF!,0)-MOD(12+MATCH(A160,Programa!#REF!,0),12),1,,,"Programa"))),"")</f>
        <v/>
      </c>
      <c r="E160" s="81"/>
      <c r="F160" s="81"/>
      <c r="G160" s="82"/>
      <c r="H160" s="82"/>
      <c r="I160" s="82"/>
      <c r="J160" s="82"/>
      <c r="K160" s="82"/>
      <c r="L160" s="82"/>
      <c r="M160" s="82"/>
    </row>
    <row r="161" spans="1:13" x14ac:dyDescent="0.25">
      <c r="A161" s="84">
        <v>80</v>
      </c>
      <c r="B161" s="85" t="s">
        <v>215</v>
      </c>
      <c r="C161" s="125" t="str">
        <f>IF(ISNUMBER(A161),IF(ISERROR(MATCH(A161,Programa!#REF!,0)),"Nunca",(INDEX(Programa!$A:$A,12)-D161)/7&amp;" semanas"),"")</f>
        <v>Nunca</v>
      </c>
      <c r="D161" s="121" t="str">
        <f ca="1">IF(ISNUMBER(A161),IF(ISERROR(MATCH(A161,Programa!#REF!,0)),"",INDIRECT(ADDRESS(12+MATCH(A161,Programa!#REF!,0)-MOD(12+MATCH(A161,Programa!#REF!,0),12),1,,,"Programa"))),"")</f>
        <v/>
      </c>
      <c r="E161" s="81"/>
      <c r="F161" s="81"/>
      <c r="G161" s="82"/>
      <c r="H161" s="82"/>
      <c r="I161" s="82"/>
      <c r="J161" s="82"/>
      <c r="K161" s="82"/>
      <c r="L161" s="82"/>
      <c r="M161" s="82"/>
    </row>
    <row r="162" spans="1:13" x14ac:dyDescent="0.25">
      <c r="A162" s="84">
        <v>81</v>
      </c>
      <c r="B162" s="85" t="s">
        <v>216</v>
      </c>
      <c r="C162" s="125" t="str">
        <f>IF(ISNUMBER(A162),IF(ISERROR(MATCH(A162,Programa!#REF!,0)),"Nunca",(INDEX(Programa!$A:$A,12)-D162)/7&amp;" semanas"),"")</f>
        <v>Nunca</v>
      </c>
      <c r="D162" s="121" t="str">
        <f ca="1">IF(ISNUMBER(A162),IF(ISERROR(MATCH(A162,Programa!#REF!,0)),"",INDIRECT(ADDRESS(12+MATCH(A162,Programa!#REF!,0)-MOD(12+MATCH(A162,Programa!#REF!,0),12),1,,,"Programa"))),"")</f>
        <v/>
      </c>
      <c r="E162" s="81"/>
      <c r="F162" s="81"/>
      <c r="G162" s="82"/>
      <c r="H162" s="82"/>
      <c r="I162" s="82"/>
      <c r="J162" s="82"/>
      <c r="K162" s="82"/>
      <c r="L162" s="82"/>
      <c r="M162" s="82"/>
    </row>
    <row r="163" spans="1:13" x14ac:dyDescent="0.25">
      <c r="A163" s="84">
        <v>81</v>
      </c>
      <c r="B163" s="85" t="s">
        <v>217</v>
      </c>
      <c r="C163" s="125" t="str">
        <f>IF(ISNUMBER(A163),IF(ISERROR(MATCH(A163,Programa!#REF!,0)),"Nunca",(INDEX(Programa!$A:$A,12)-D163)/7&amp;" semanas"),"")</f>
        <v>Nunca</v>
      </c>
      <c r="D163" s="121" t="str">
        <f ca="1">IF(ISNUMBER(A163),IF(ISERROR(MATCH(A163,Programa!#REF!,0)),"",INDIRECT(ADDRESS(12+MATCH(A163,Programa!#REF!,0)-MOD(12+MATCH(A163,Programa!#REF!,0),12),1,,,"Programa"))),"")</f>
        <v/>
      </c>
      <c r="E163" s="81"/>
      <c r="F163" s="81"/>
      <c r="G163" s="82"/>
      <c r="H163" s="82"/>
      <c r="I163" s="82"/>
      <c r="J163" s="82"/>
      <c r="K163" s="82"/>
      <c r="L163" s="82"/>
      <c r="M163" s="82"/>
    </row>
    <row r="164" spans="1:13" x14ac:dyDescent="0.25">
      <c r="A164" s="84">
        <v>82</v>
      </c>
      <c r="B164" s="85" t="s">
        <v>218</v>
      </c>
      <c r="C164" s="125" t="str">
        <f>IF(ISNUMBER(A164),IF(ISERROR(MATCH(A164,Programa!#REF!,0)),"Nunca",(INDEX(Programa!$A:$A,12)-D164)/7&amp;" semanas"),"")</f>
        <v>Nunca</v>
      </c>
      <c r="D164" s="121" t="str">
        <f ca="1">IF(ISNUMBER(A164),IF(ISERROR(MATCH(A164,Programa!#REF!,0)),"",INDIRECT(ADDRESS(12+MATCH(A164,Programa!#REF!,0)-MOD(12+MATCH(A164,Programa!#REF!,0),12),1,,,"Programa"))),"")</f>
        <v/>
      </c>
      <c r="E164" s="81"/>
      <c r="F164" s="81"/>
      <c r="G164" s="82"/>
      <c r="H164" s="82"/>
      <c r="I164" s="82"/>
      <c r="J164" s="82"/>
      <c r="K164" s="82"/>
      <c r="L164" s="82"/>
      <c r="M164" s="82"/>
    </row>
    <row r="165" spans="1:13" x14ac:dyDescent="0.25">
      <c r="A165" s="84">
        <v>82</v>
      </c>
      <c r="B165" s="85" t="s">
        <v>219</v>
      </c>
      <c r="C165" s="125" t="str">
        <f>IF(ISNUMBER(A165),IF(ISERROR(MATCH(A165,Programa!#REF!,0)),"Nunca",(INDEX(Programa!$A:$A,12)-D165)/7&amp;" semanas"),"")</f>
        <v>Nunca</v>
      </c>
      <c r="D165" s="121" t="str">
        <f ca="1">IF(ISNUMBER(A165),IF(ISERROR(MATCH(A165,Programa!#REF!,0)),"",INDIRECT(ADDRESS(12+MATCH(A165,Programa!#REF!,0)-MOD(12+MATCH(A165,Programa!#REF!,0),12),1,,,"Programa"))),"")</f>
        <v/>
      </c>
      <c r="E165" s="81"/>
      <c r="F165" s="81"/>
      <c r="G165" s="82"/>
      <c r="H165" s="82"/>
      <c r="I165" s="82"/>
      <c r="J165" s="82"/>
      <c r="K165" s="82"/>
      <c r="L165" s="82"/>
      <c r="M165" s="82"/>
    </row>
    <row r="166" spans="1:13" x14ac:dyDescent="0.25">
      <c r="A166" s="84">
        <v>83</v>
      </c>
      <c r="B166" s="85" t="s">
        <v>220</v>
      </c>
      <c r="C166" s="125" t="str">
        <f>IF(ISNUMBER(A166),IF(ISERROR(MATCH(A166,Programa!#REF!,0)),"Nunca",(INDEX(Programa!$A:$A,12)-D166)/7&amp;" semanas"),"")</f>
        <v>Nunca</v>
      </c>
      <c r="D166" s="121" t="str">
        <f ca="1">IF(ISNUMBER(A166),IF(ISERROR(MATCH(A166,Programa!#REF!,0)),"",INDIRECT(ADDRESS(12+MATCH(A166,Programa!#REF!,0)-MOD(12+MATCH(A166,Programa!#REF!,0),12),1,,,"Programa"))),"")</f>
        <v/>
      </c>
      <c r="E166" s="81"/>
      <c r="F166" s="81"/>
      <c r="G166" s="82"/>
      <c r="H166" s="82"/>
      <c r="I166" s="82"/>
      <c r="J166" s="82"/>
      <c r="K166" s="82"/>
      <c r="L166" s="82"/>
      <c r="M166" s="82"/>
    </row>
    <row r="167" spans="1:13" x14ac:dyDescent="0.25">
      <c r="A167" s="84">
        <v>83</v>
      </c>
      <c r="B167" s="85" t="s">
        <v>221</v>
      </c>
      <c r="C167" s="125" t="str">
        <f>IF(ISNUMBER(A167),IF(ISERROR(MATCH(A167,Programa!#REF!,0)),"Nunca",(INDEX(Programa!$A:$A,12)-D167)/7&amp;" semanas"),"")</f>
        <v>Nunca</v>
      </c>
      <c r="D167" s="121" t="str">
        <f ca="1">IF(ISNUMBER(A167),IF(ISERROR(MATCH(A167,Programa!#REF!,0)),"",INDIRECT(ADDRESS(12+MATCH(A167,Programa!#REF!,0)-MOD(12+MATCH(A167,Programa!#REF!,0),12),1,,,"Programa"))),"")</f>
        <v/>
      </c>
      <c r="E167" s="81"/>
      <c r="F167" s="81"/>
      <c r="G167" s="82"/>
      <c r="H167" s="82"/>
      <c r="I167" s="82"/>
      <c r="J167" s="82"/>
      <c r="K167" s="82"/>
      <c r="L167" s="82"/>
      <c r="M167" s="82"/>
    </row>
    <row r="168" spans="1:13" x14ac:dyDescent="0.25">
      <c r="A168" s="84">
        <v>84</v>
      </c>
      <c r="B168" s="85" t="s">
        <v>222</v>
      </c>
      <c r="C168" s="125" t="str">
        <f>IF(ISNUMBER(A168),IF(ISERROR(MATCH(A168,Programa!#REF!,0)),"Nunca",(INDEX(Programa!$A:$A,12)-D168)/7&amp;" semanas"),"")</f>
        <v>Nunca</v>
      </c>
      <c r="D168" s="121" t="str">
        <f ca="1">IF(ISNUMBER(A168),IF(ISERROR(MATCH(A168,Programa!#REF!,0)),"",INDIRECT(ADDRESS(12+MATCH(A168,Programa!#REF!,0)-MOD(12+MATCH(A168,Programa!#REF!,0),12),1,,,"Programa"))),"")</f>
        <v/>
      </c>
      <c r="E168" s="81"/>
      <c r="F168" s="81"/>
      <c r="G168" s="82"/>
      <c r="H168" s="82"/>
      <c r="I168" s="82"/>
      <c r="J168" s="82"/>
      <c r="K168" s="82"/>
      <c r="L168" s="82"/>
      <c r="M168" s="82"/>
    </row>
    <row r="169" spans="1:13" x14ac:dyDescent="0.25">
      <c r="A169" s="84">
        <v>84</v>
      </c>
      <c r="B169" s="85" t="s">
        <v>223</v>
      </c>
      <c r="C169" s="125" t="str">
        <f>IF(ISNUMBER(A169),IF(ISERROR(MATCH(A169,Programa!#REF!,0)),"Nunca",(INDEX(Programa!$A:$A,12)-D169)/7&amp;" semanas"),"")</f>
        <v>Nunca</v>
      </c>
      <c r="D169" s="121" t="str">
        <f ca="1">IF(ISNUMBER(A169),IF(ISERROR(MATCH(A169,Programa!#REF!,0)),"",INDIRECT(ADDRESS(12+MATCH(A169,Programa!#REF!,0)-MOD(12+MATCH(A169,Programa!#REF!,0),12),1,,,"Programa"))),"")</f>
        <v/>
      </c>
      <c r="E169" s="81"/>
      <c r="F169" s="81"/>
      <c r="G169" s="82"/>
      <c r="H169" s="82"/>
      <c r="I169" s="82"/>
      <c r="J169" s="82"/>
      <c r="K169" s="82"/>
      <c r="L169" s="82"/>
      <c r="M169" s="82"/>
    </row>
    <row r="170" spans="1:13" x14ac:dyDescent="0.25">
      <c r="A170" s="84">
        <v>85</v>
      </c>
      <c r="B170" s="85" t="s">
        <v>224</v>
      </c>
      <c r="C170" s="125" t="str">
        <f>IF(ISNUMBER(A170),IF(ISERROR(MATCH(A170,Programa!#REF!,0)),"Nunca",(INDEX(Programa!$A:$A,12)-D170)/7&amp;" semanas"),"")</f>
        <v>Nunca</v>
      </c>
      <c r="D170" s="121" t="str">
        <f ca="1">IF(ISNUMBER(A170),IF(ISERROR(MATCH(A170,Programa!#REF!,0)),"",INDIRECT(ADDRESS(12+MATCH(A170,Programa!#REF!,0)-MOD(12+MATCH(A170,Programa!#REF!,0),12),1,,,"Programa"))),"")</f>
        <v/>
      </c>
      <c r="E170" s="81"/>
      <c r="F170" s="81"/>
      <c r="G170" s="82"/>
      <c r="H170" s="82"/>
      <c r="I170" s="82"/>
      <c r="J170" s="82"/>
      <c r="K170" s="82"/>
      <c r="L170" s="82"/>
      <c r="M170" s="82"/>
    </row>
    <row r="171" spans="1:13" x14ac:dyDescent="0.25">
      <c r="A171" s="84">
        <v>85</v>
      </c>
      <c r="B171" s="85" t="s">
        <v>225</v>
      </c>
      <c r="C171" s="125" t="str">
        <f>IF(ISNUMBER(A171),IF(ISERROR(MATCH(A171,Programa!#REF!,0)),"Nunca",(INDEX(Programa!$A:$A,12)-D171)/7&amp;" semanas"),"")</f>
        <v>Nunca</v>
      </c>
      <c r="D171" s="121" t="str">
        <f ca="1">IF(ISNUMBER(A171),IF(ISERROR(MATCH(A171,Programa!#REF!,0)),"",INDIRECT(ADDRESS(12+MATCH(A171,Programa!#REF!,0)-MOD(12+MATCH(A171,Programa!#REF!,0),12),1,,,"Programa"))),"")</f>
        <v/>
      </c>
      <c r="E171" s="81"/>
      <c r="F171" s="81"/>
      <c r="G171" s="82"/>
      <c r="H171" s="82"/>
      <c r="I171" s="82"/>
      <c r="J171" s="82"/>
      <c r="K171" s="82"/>
      <c r="L171" s="82"/>
      <c r="M171" s="82"/>
    </row>
    <row r="172" spans="1:13" x14ac:dyDescent="0.25">
      <c r="A172" s="84">
        <v>86</v>
      </c>
      <c r="B172" s="85" t="s">
        <v>226</v>
      </c>
      <c r="C172" s="125" t="str">
        <f>IF(ISNUMBER(A172),IF(ISERROR(MATCH(A172,Programa!#REF!,0)),"Nunca",(INDEX(Programa!$A:$A,12)-D172)/7&amp;" semanas"),"")</f>
        <v>Nunca</v>
      </c>
      <c r="D172" s="121" t="str">
        <f ca="1">IF(ISNUMBER(A172),IF(ISERROR(MATCH(A172,Programa!#REF!,0)),"",INDIRECT(ADDRESS(12+MATCH(A172,Programa!#REF!,0)-MOD(12+MATCH(A172,Programa!#REF!,0),12),1,,,"Programa"))),"")</f>
        <v/>
      </c>
      <c r="E172" s="81"/>
      <c r="F172" s="81"/>
      <c r="G172" s="82"/>
      <c r="H172" s="82"/>
      <c r="I172" s="82"/>
      <c r="J172" s="82"/>
      <c r="K172" s="82"/>
      <c r="L172" s="82"/>
      <c r="M172" s="82"/>
    </row>
    <row r="173" spans="1:13" x14ac:dyDescent="0.25">
      <c r="A173" s="84">
        <v>86</v>
      </c>
      <c r="B173" s="85" t="s">
        <v>227</v>
      </c>
      <c r="C173" s="125" t="str">
        <f>IF(ISNUMBER(A173),IF(ISERROR(MATCH(A173,Programa!#REF!,0)),"Nunca",(INDEX(Programa!$A:$A,12)-D173)/7&amp;" semanas"),"")</f>
        <v>Nunca</v>
      </c>
      <c r="D173" s="121" t="str">
        <f ca="1">IF(ISNUMBER(A173),IF(ISERROR(MATCH(A173,Programa!#REF!,0)),"",INDIRECT(ADDRESS(12+MATCH(A173,Programa!#REF!,0)-MOD(12+MATCH(A173,Programa!#REF!,0),12),1,,,"Programa"))),"")</f>
        <v/>
      </c>
      <c r="E173" s="81"/>
      <c r="F173" s="81"/>
      <c r="G173" s="82"/>
      <c r="H173" s="82"/>
      <c r="I173" s="82"/>
      <c r="J173" s="82"/>
      <c r="K173" s="82"/>
      <c r="L173" s="82"/>
      <c r="M173" s="82"/>
    </row>
    <row r="174" spans="1:13" x14ac:dyDescent="0.25">
      <c r="A174" s="84">
        <v>87</v>
      </c>
      <c r="B174" s="85" t="s">
        <v>228</v>
      </c>
      <c r="C174" s="125" t="str">
        <f>IF(ISNUMBER(A174),IF(ISERROR(MATCH(A174,Programa!#REF!,0)),"Nunca",(INDEX(Programa!$A:$A,12)-D174)/7&amp;" semanas"),"")</f>
        <v>Nunca</v>
      </c>
      <c r="D174" s="121" t="str">
        <f ca="1">IF(ISNUMBER(A174),IF(ISERROR(MATCH(A174,Programa!#REF!,0)),"",INDIRECT(ADDRESS(12+MATCH(A174,Programa!#REF!,0)-MOD(12+MATCH(A174,Programa!#REF!,0),12),1,,,"Programa"))),"")</f>
        <v/>
      </c>
      <c r="E174" s="81"/>
      <c r="F174" s="81"/>
      <c r="G174" s="82"/>
      <c r="H174" s="82"/>
      <c r="I174" s="82"/>
      <c r="J174" s="82"/>
      <c r="K174" s="82"/>
      <c r="L174" s="82"/>
      <c r="M174" s="82"/>
    </row>
    <row r="175" spans="1:13" x14ac:dyDescent="0.25">
      <c r="A175" s="84">
        <v>87</v>
      </c>
      <c r="B175" s="85" t="s">
        <v>229</v>
      </c>
      <c r="C175" s="125" t="str">
        <f>IF(ISNUMBER(A175),IF(ISERROR(MATCH(A175,Programa!#REF!,0)),"Nunca",(INDEX(Programa!$A:$A,12)-D175)/7&amp;" semanas"),"")</f>
        <v>Nunca</v>
      </c>
      <c r="D175" s="121" t="str">
        <f ca="1">IF(ISNUMBER(A175),IF(ISERROR(MATCH(A175,Programa!#REF!,0)),"",INDIRECT(ADDRESS(12+MATCH(A175,Programa!#REF!,0)-MOD(12+MATCH(A175,Programa!#REF!,0),12),1,,,"Programa"))),"")</f>
        <v/>
      </c>
      <c r="E175" s="81"/>
      <c r="F175" s="81"/>
      <c r="G175" s="82"/>
      <c r="H175" s="82"/>
      <c r="I175" s="82"/>
      <c r="J175" s="82"/>
      <c r="K175" s="82"/>
      <c r="L175" s="82"/>
      <c r="M175" s="82"/>
    </row>
    <row r="176" spans="1:13" x14ac:dyDescent="0.25">
      <c r="A176" s="84">
        <v>88</v>
      </c>
      <c r="B176" s="85" t="s">
        <v>230</v>
      </c>
      <c r="C176" s="125" t="str">
        <f>IF(ISNUMBER(A176),IF(ISERROR(MATCH(A176,Programa!#REF!,0)),"Nunca",(INDEX(Programa!$A:$A,12)-D176)/7&amp;" semanas"),"")</f>
        <v>Nunca</v>
      </c>
      <c r="D176" s="121" t="str">
        <f ca="1">IF(ISNUMBER(A176),IF(ISERROR(MATCH(A176,Programa!#REF!,0)),"",INDIRECT(ADDRESS(12+MATCH(A176,Programa!#REF!,0)-MOD(12+MATCH(A176,Programa!#REF!,0),12),1,,,"Programa"))),"")</f>
        <v/>
      </c>
      <c r="E176" s="81"/>
      <c r="F176" s="81"/>
      <c r="G176" s="82"/>
      <c r="H176" s="82"/>
      <c r="I176" s="82"/>
      <c r="J176" s="82"/>
      <c r="K176" s="82"/>
      <c r="L176" s="82"/>
      <c r="M176" s="82"/>
    </row>
    <row r="177" spans="1:13" x14ac:dyDescent="0.25">
      <c r="A177" s="84">
        <v>89</v>
      </c>
      <c r="B177" s="85" t="s">
        <v>231</v>
      </c>
      <c r="C177" s="125" t="str">
        <f>IF(ISNUMBER(A177),IF(ISERROR(MATCH(A177,Programa!#REF!,0)),"Nunca",(INDEX(Programa!$A:$A,12)-D177)/7&amp;" semanas"),"")</f>
        <v>Nunca</v>
      </c>
      <c r="D177" s="121" t="str">
        <f ca="1">IF(ISNUMBER(A177),IF(ISERROR(MATCH(A177,Programa!#REF!,0)),"",INDIRECT(ADDRESS(12+MATCH(A177,Programa!#REF!,0)-MOD(12+MATCH(A177,Programa!#REF!,0),12),1,,,"Programa"))),"")</f>
        <v/>
      </c>
      <c r="E177" s="81"/>
      <c r="F177" s="81"/>
      <c r="G177" s="82"/>
      <c r="H177" s="82"/>
      <c r="I177" s="82"/>
      <c r="J177" s="82"/>
      <c r="K177" s="82"/>
      <c r="L177" s="82"/>
      <c r="M177" s="82"/>
    </row>
    <row r="178" spans="1:13" x14ac:dyDescent="0.25">
      <c r="A178" s="84">
        <v>89</v>
      </c>
      <c r="B178" s="85" t="s">
        <v>232</v>
      </c>
      <c r="C178" s="125" t="str">
        <f>IF(ISNUMBER(A178),IF(ISERROR(MATCH(A178,Programa!#REF!,0)),"Nunca",(INDEX(Programa!$A:$A,12)-D178)/7&amp;" semanas"),"")</f>
        <v>Nunca</v>
      </c>
      <c r="D178" s="121" t="str">
        <f ca="1">IF(ISNUMBER(A178),IF(ISERROR(MATCH(A178,Programa!#REF!,0)),"",INDIRECT(ADDRESS(12+MATCH(A178,Programa!#REF!,0)-MOD(12+MATCH(A178,Programa!#REF!,0),12),1,,,"Programa"))),"")</f>
        <v/>
      </c>
      <c r="E178" s="81"/>
      <c r="F178" s="81"/>
      <c r="G178" s="82"/>
      <c r="H178" s="82"/>
      <c r="I178" s="82"/>
      <c r="J178" s="82"/>
      <c r="K178" s="82"/>
      <c r="L178" s="82"/>
      <c r="M178" s="82"/>
    </row>
    <row r="179" spans="1:13" x14ac:dyDescent="0.25">
      <c r="A179" s="84">
        <v>90</v>
      </c>
      <c r="B179" s="85" t="s">
        <v>233</v>
      </c>
      <c r="C179" s="125" t="str">
        <f>IF(ISNUMBER(A179),IF(ISERROR(MATCH(A179,Programa!#REF!,0)),"Nunca",(INDEX(Programa!$A:$A,12)-D179)/7&amp;" semanas"),"")</f>
        <v>Nunca</v>
      </c>
      <c r="D179" s="121" t="str">
        <f ca="1">IF(ISNUMBER(A179),IF(ISERROR(MATCH(A179,Programa!#REF!,0)),"",INDIRECT(ADDRESS(12+MATCH(A179,Programa!#REF!,0)-MOD(12+MATCH(A179,Programa!#REF!,0),12),1,,,"Programa"))),"")</f>
        <v/>
      </c>
      <c r="E179" s="81"/>
      <c r="F179" s="81"/>
      <c r="G179" s="82"/>
      <c r="H179" s="82"/>
      <c r="I179" s="82"/>
      <c r="J179" s="82"/>
      <c r="K179" s="82"/>
      <c r="L179" s="82"/>
      <c r="M179" s="82"/>
    </row>
    <row r="180" spans="1:13" x14ac:dyDescent="0.25">
      <c r="A180" s="84">
        <v>90</v>
      </c>
      <c r="B180" s="85" t="s">
        <v>234</v>
      </c>
      <c r="C180" s="125" t="str">
        <f>IF(ISNUMBER(A180),IF(ISERROR(MATCH(A180,Programa!#REF!,0)),"Nunca",(INDEX(Programa!$A:$A,12)-D180)/7&amp;" semanas"),"")</f>
        <v>Nunca</v>
      </c>
      <c r="D180" s="121" t="str">
        <f ca="1">IF(ISNUMBER(A180),IF(ISERROR(MATCH(A180,Programa!#REF!,0)),"",INDIRECT(ADDRESS(12+MATCH(A180,Programa!#REF!,0)-MOD(12+MATCH(A180,Programa!#REF!,0),12),1,,,"Programa"))),"")</f>
        <v/>
      </c>
      <c r="E180" s="81"/>
      <c r="F180" s="81"/>
      <c r="G180" s="82"/>
      <c r="H180" s="82"/>
      <c r="I180" s="82"/>
      <c r="J180" s="82"/>
      <c r="K180" s="82"/>
      <c r="L180" s="82"/>
      <c r="M180" s="82"/>
    </row>
    <row r="181" spans="1:13" x14ac:dyDescent="0.25">
      <c r="A181" s="84">
        <v>91</v>
      </c>
      <c r="B181" s="85" t="s">
        <v>235</v>
      </c>
      <c r="C181" s="125" t="str">
        <f>IF(ISNUMBER(A181),IF(ISERROR(MATCH(A181,Programa!#REF!,0)),"Nunca",(INDEX(Programa!$A:$A,12)-D181)/7&amp;" semanas"),"")</f>
        <v>Nunca</v>
      </c>
      <c r="D181" s="121" t="str">
        <f ca="1">IF(ISNUMBER(A181),IF(ISERROR(MATCH(A181,Programa!#REF!,0)),"",INDIRECT(ADDRESS(12+MATCH(A181,Programa!#REF!,0)-MOD(12+MATCH(A181,Programa!#REF!,0),12),1,,,"Programa"))),"")</f>
        <v/>
      </c>
      <c r="E181" s="81"/>
      <c r="F181" s="81"/>
      <c r="G181" s="82"/>
      <c r="H181" s="82"/>
      <c r="I181" s="82"/>
      <c r="J181" s="82"/>
      <c r="K181" s="82"/>
      <c r="L181" s="82"/>
      <c r="M181" s="82"/>
    </row>
    <row r="182" spans="1:13" x14ac:dyDescent="0.25">
      <c r="A182" s="84">
        <v>91</v>
      </c>
      <c r="B182" s="85" t="s">
        <v>236</v>
      </c>
      <c r="C182" s="125" t="str">
        <f>IF(ISNUMBER(A182),IF(ISERROR(MATCH(A182,Programa!#REF!,0)),"Nunca",(INDEX(Programa!$A:$A,12)-D182)/7&amp;" semanas"),"")</f>
        <v>Nunca</v>
      </c>
      <c r="D182" s="121" t="str">
        <f ca="1">IF(ISNUMBER(A182),IF(ISERROR(MATCH(A182,Programa!#REF!,0)),"",INDIRECT(ADDRESS(12+MATCH(A182,Programa!#REF!,0)-MOD(12+MATCH(A182,Programa!#REF!,0),12),1,,,"Programa"))),"")</f>
        <v/>
      </c>
      <c r="E182" s="81"/>
      <c r="F182" s="81"/>
      <c r="G182" s="82"/>
      <c r="H182" s="82"/>
      <c r="I182" s="82"/>
      <c r="J182" s="82"/>
      <c r="K182" s="82"/>
      <c r="L182" s="82"/>
      <c r="M182" s="82"/>
    </row>
    <row r="183" spans="1:13" x14ac:dyDescent="0.25">
      <c r="A183" s="84">
        <v>92</v>
      </c>
      <c r="B183" s="85" t="s">
        <v>237</v>
      </c>
      <c r="C183" s="125" t="str">
        <f>IF(ISNUMBER(A183),IF(ISERROR(MATCH(A183,Programa!#REF!,0)),"Nunca",(INDEX(Programa!$A:$A,12)-D183)/7&amp;" semanas"),"")</f>
        <v>Nunca</v>
      </c>
      <c r="D183" s="121" t="str">
        <f ca="1">IF(ISNUMBER(A183),IF(ISERROR(MATCH(A183,Programa!#REF!,0)),"",INDIRECT(ADDRESS(12+MATCH(A183,Programa!#REF!,0)-MOD(12+MATCH(A183,Programa!#REF!,0),12),1,,,"Programa"))),"")</f>
        <v/>
      </c>
      <c r="E183" s="81"/>
      <c r="F183" s="81"/>
      <c r="G183" s="82"/>
      <c r="H183" s="82"/>
      <c r="I183" s="82"/>
      <c r="J183" s="82"/>
      <c r="K183" s="82"/>
      <c r="L183" s="82"/>
      <c r="M183" s="82"/>
    </row>
    <row r="184" spans="1:13" x14ac:dyDescent="0.25">
      <c r="A184" s="84">
        <v>92</v>
      </c>
      <c r="B184" s="85" t="s">
        <v>238</v>
      </c>
      <c r="C184" s="125" t="str">
        <f>IF(ISNUMBER(A184),IF(ISERROR(MATCH(A184,Programa!#REF!,0)),"Nunca",(INDEX(Programa!$A:$A,12)-D184)/7&amp;" semanas"),"")</f>
        <v>Nunca</v>
      </c>
      <c r="D184" s="121" t="str">
        <f ca="1">IF(ISNUMBER(A184),IF(ISERROR(MATCH(A184,Programa!#REF!,0)),"",INDIRECT(ADDRESS(12+MATCH(A184,Programa!#REF!,0)-MOD(12+MATCH(A184,Programa!#REF!,0),12),1,,,"Programa"))),"")</f>
        <v/>
      </c>
      <c r="E184" s="81"/>
      <c r="F184" s="81"/>
      <c r="G184" s="82"/>
      <c r="H184" s="82"/>
      <c r="I184" s="82"/>
      <c r="J184" s="82"/>
      <c r="K184" s="82"/>
      <c r="L184" s="82"/>
      <c r="M184" s="82"/>
    </row>
    <row r="185" spans="1:13" x14ac:dyDescent="0.25">
      <c r="A185" s="84">
        <v>93</v>
      </c>
      <c r="B185" s="85" t="s">
        <v>239</v>
      </c>
      <c r="C185" s="125" t="str">
        <f>IF(ISNUMBER(A185),IF(ISERROR(MATCH(A185,Programa!#REF!,0)),"Nunca",(INDEX(Programa!$A:$A,12)-D185)/7&amp;" semanas"),"")</f>
        <v>Nunca</v>
      </c>
      <c r="D185" s="121" t="str">
        <f ca="1">IF(ISNUMBER(A185),IF(ISERROR(MATCH(A185,Programa!#REF!,0)),"",INDIRECT(ADDRESS(12+MATCH(A185,Programa!#REF!,0)-MOD(12+MATCH(A185,Programa!#REF!,0),12),1,,,"Programa"))),"")</f>
        <v/>
      </c>
      <c r="E185" s="81"/>
      <c r="F185" s="81"/>
      <c r="G185" s="82"/>
      <c r="H185" s="82"/>
      <c r="I185" s="82"/>
      <c r="J185" s="82"/>
      <c r="K185" s="82"/>
      <c r="L185" s="82"/>
      <c r="M185" s="82"/>
    </row>
    <row r="186" spans="1:13" x14ac:dyDescent="0.25">
      <c r="A186" s="84">
        <v>93</v>
      </c>
      <c r="B186" s="85" t="s">
        <v>240</v>
      </c>
      <c r="C186" s="125" t="str">
        <f>IF(ISNUMBER(A186),IF(ISERROR(MATCH(A186,Programa!#REF!,0)),"Nunca",(INDEX(Programa!$A:$A,12)-D186)/7&amp;" semanas"),"")</f>
        <v>Nunca</v>
      </c>
      <c r="D186" s="121" t="str">
        <f ca="1">IF(ISNUMBER(A186),IF(ISERROR(MATCH(A186,Programa!#REF!,0)),"",INDIRECT(ADDRESS(12+MATCH(A186,Programa!#REF!,0)-MOD(12+MATCH(A186,Programa!#REF!,0),12),1,,,"Programa"))),"")</f>
        <v/>
      </c>
      <c r="E186" s="81"/>
      <c r="F186" s="81"/>
      <c r="G186" s="82"/>
      <c r="H186" s="82"/>
      <c r="I186" s="82"/>
      <c r="J186" s="82"/>
      <c r="K186" s="82"/>
      <c r="L186" s="82"/>
      <c r="M186" s="82"/>
    </row>
    <row r="187" spans="1:13" x14ac:dyDescent="0.25">
      <c r="A187" s="84">
        <v>94</v>
      </c>
      <c r="B187" s="85" t="s">
        <v>241</v>
      </c>
      <c r="C187" s="125" t="str">
        <f>IF(ISNUMBER(A187),IF(ISERROR(MATCH(A187,Programa!#REF!,0)),"Nunca",(INDEX(Programa!$A:$A,12)-D187)/7&amp;" semanas"),"")</f>
        <v>Nunca</v>
      </c>
      <c r="D187" s="121" t="str">
        <f ca="1">IF(ISNUMBER(A187),IF(ISERROR(MATCH(A187,Programa!#REF!,0)),"",INDIRECT(ADDRESS(12+MATCH(A187,Programa!#REF!,0)-MOD(12+MATCH(A187,Programa!#REF!,0),12),1,,,"Programa"))),"")</f>
        <v/>
      </c>
      <c r="E187" s="81"/>
      <c r="F187" s="81"/>
      <c r="G187" s="82"/>
      <c r="H187" s="82"/>
      <c r="I187" s="82"/>
      <c r="J187" s="82"/>
      <c r="K187" s="82"/>
      <c r="L187" s="82"/>
      <c r="M187" s="82"/>
    </row>
    <row r="188" spans="1:13" x14ac:dyDescent="0.25">
      <c r="A188" s="84">
        <v>94</v>
      </c>
      <c r="B188" s="85" t="s">
        <v>242</v>
      </c>
      <c r="C188" s="125" t="str">
        <f>IF(ISNUMBER(A188),IF(ISERROR(MATCH(A188,Programa!#REF!,0)),"Nunca",(INDEX(Programa!$A:$A,12)-D188)/7&amp;" semanas"),"")</f>
        <v>Nunca</v>
      </c>
      <c r="D188" s="121" t="str">
        <f ca="1">IF(ISNUMBER(A188),IF(ISERROR(MATCH(A188,Programa!#REF!,0)),"",INDIRECT(ADDRESS(12+MATCH(A188,Programa!#REF!,0)-MOD(12+MATCH(A188,Programa!#REF!,0),12),1,,,"Programa"))),"")</f>
        <v/>
      </c>
      <c r="E188" s="81"/>
      <c r="F188" s="81"/>
      <c r="G188" s="82"/>
      <c r="H188" s="82"/>
      <c r="I188" s="82"/>
      <c r="J188" s="82"/>
      <c r="K188" s="82"/>
      <c r="L188" s="82"/>
      <c r="M188" s="82"/>
    </row>
    <row r="189" spans="1:13" x14ac:dyDescent="0.25">
      <c r="A189" s="84">
        <v>95</v>
      </c>
      <c r="B189" s="85" t="s">
        <v>243</v>
      </c>
      <c r="C189" s="125" t="str">
        <f>IF(ISNUMBER(A189),IF(ISERROR(MATCH(A189,Programa!#REF!,0)),"Nunca",(INDEX(Programa!$A:$A,12)-D189)/7&amp;" semanas"),"")</f>
        <v>Nunca</v>
      </c>
      <c r="D189" s="121" t="str">
        <f ca="1">IF(ISNUMBER(A189),IF(ISERROR(MATCH(A189,Programa!#REF!,0)),"",INDIRECT(ADDRESS(12+MATCH(A189,Programa!#REF!,0)-MOD(12+MATCH(A189,Programa!#REF!,0),12),1,,,"Programa"))),"")</f>
        <v/>
      </c>
      <c r="E189" s="81"/>
      <c r="F189" s="81"/>
      <c r="G189" s="82"/>
      <c r="H189" s="82"/>
      <c r="I189" s="82"/>
      <c r="J189" s="82"/>
      <c r="K189" s="82"/>
      <c r="L189" s="82"/>
      <c r="M189" s="82"/>
    </row>
    <row r="190" spans="1:13" x14ac:dyDescent="0.25">
      <c r="A190" s="84">
        <v>95</v>
      </c>
      <c r="B190" s="85" t="s">
        <v>244</v>
      </c>
      <c r="C190" s="125" t="str">
        <f>IF(ISNUMBER(A190),IF(ISERROR(MATCH(A190,Programa!#REF!,0)),"Nunca",(INDEX(Programa!$A:$A,12)-D190)/7&amp;" semanas"),"")</f>
        <v>Nunca</v>
      </c>
      <c r="D190" s="121" t="str">
        <f ca="1">IF(ISNUMBER(A190),IF(ISERROR(MATCH(A190,Programa!#REF!,0)),"",INDIRECT(ADDRESS(12+MATCH(A190,Programa!#REF!,0)-MOD(12+MATCH(A190,Programa!#REF!,0),12),1,,,"Programa"))),"")</f>
        <v/>
      </c>
      <c r="E190" s="81"/>
      <c r="F190" s="81"/>
      <c r="G190" s="82"/>
      <c r="H190" s="82"/>
      <c r="I190" s="82"/>
      <c r="J190" s="82"/>
      <c r="K190" s="82"/>
      <c r="L190" s="82"/>
      <c r="M190" s="82"/>
    </row>
    <row r="191" spans="1:13" x14ac:dyDescent="0.25">
      <c r="A191" s="84">
        <v>96</v>
      </c>
      <c r="B191" s="85" t="s">
        <v>245</v>
      </c>
      <c r="C191" s="125" t="str">
        <f>IF(ISNUMBER(A191),IF(ISERROR(MATCH(A191,Programa!#REF!,0)),"Nunca",(INDEX(Programa!$A:$A,12)-D191)/7&amp;" semanas"),"")</f>
        <v>Nunca</v>
      </c>
      <c r="D191" s="121" t="str">
        <f ca="1">IF(ISNUMBER(A191),IF(ISERROR(MATCH(A191,Programa!#REF!,0)),"",INDIRECT(ADDRESS(12+MATCH(A191,Programa!#REF!,0)-MOD(12+MATCH(A191,Programa!#REF!,0),12),1,,,"Programa"))),"")</f>
        <v/>
      </c>
      <c r="E191" s="81"/>
      <c r="F191" s="81"/>
      <c r="G191" s="82"/>
      <c r="H191" s="82"/>
      <c r="I191" s="82"/>
      <c r="J191" s="82"/>
      <c r="K191" s="82"/>
      <c r="L191" s="82"/>
      <c r="M191" s="82"/>
    </row>
    <row r="192" spans="1:13" x14ac:dyDescent="0.25">
      <c r="A192" s="84">
        <v>96</v>
      </c>
      <c r="B192" s="85" t="s">
        <v>246</v>
      </c>
      <c r="C192" s="125" t="str">
        <f>IF(ISNUMBER(A192),IF(ISERROR(MATCH(A192,Programa!#REF!,0)),"Nunca",(INDEX(Programa!$A:$A,12)-D192)/7&amp;" semanas"),"")</f>
        <v>Nunca</v>
      </c>
      <c r="D192" s="121" t="str">
        <f ca="1">IF(ISNUMBER(A192),IF(ISERROR(MATCH(A192,Programa!#REF!,0)),"",INDIRECT(ADDRESS(12+MATCH(A192,Programa!#REF!,0)-MOD(12+MATCH(A192,Programa!#REF!,0),12),1,,,"Programa"))),"")</f>
        <v/>
      </c>
      <c r="E192" s="81"/>
      <c r="F192" s="81"/>
      <c r="G192" s="82"/>
      <c r="H192" s="82"/>
      <c r="I192" s="82"/>
      <c r="J192" s="82"/>
      <c r="K192" s="82"/>
      <c r="L192" s="82"/>
      <c r="M192" s="82"/>
    </row>
    <row r="193" spans="1:13" x14ac:dyDescent="0.25">
      <c r="A193" s="84">
        <v>97</v>
      </c>
      <c r="B193" s="85" t="s">
        <v>247</v>
      </c>
      <c r="C193" s="125" t="str">
        <f>IF(ISNUMBER(A193),IF(ISERROR(MATCH(A193,Programa!#REF!,0)),"Nunca",(INDEX(Programa!$A:$A,12)-D193)/7&amp;" semanas"),"")</f>
        <v>Nunca</v>
      </c>
      <c r="D193" s="121" t="str">
        <f ca="1">IF(ISNUMBER(A193),IF(ISERROR(MATCH(A193,Programa!#REF!,0)),"",INDIRECT(ADDRESS(12+MATCH(A193,Programa!#REF!,0)-MOD(12+MATCH(A193,Programa!#REF!,0),12),1,,,"Programa"))),"")</f>
        <v/>
      </c>
      <c r="E193" s="81"/>
      <c r="F193" s="81"/>
      <c r="G193" s="82"/>
      <c r="H193" s="82"/>
      <c r="I193" s="82"/>
      <c r="J193" s="82"/>
      <c r="K193" s="82"/>
      <c r="L193" s="82"/>
      <c r="M193" s="82"/>
    </row>
    <row r="194" spans="1:13" x14ac:dyDescent="0.25">
      <c r="A194" s="84">
        <v>98</v>
      </c>
      <c r="B194" s="85" t="s">
        <v>248</v>
      </c>
      <c r="C194" s="125" t="str">
        <f>IF(ISNUMBER(A194),IF(ISERROR(MATCH(A194,Programa!#REF!,0)),"Nunca",(INDEX(Programa!$A:$A,12)-D194)/7&amp;" semanas"),"")</f>
        <v>Nunca</v>
      </c>
      <c r="D194" s="121" t="str">
        <f ca="1">IF(ISNUMBER(A194),IF(ISERROR(MATCH(A194,Programa!#REF!,0)),"",INDIRECT(ADDRESS(12+MATCH(A194,Programa!#REF!,0)-MOD(12+MATCH(A194,Programa!#REF!,0),12),1,,,"Programa"))),"")</f>
        <v/>
      </c>
      <c r="E194" s="81"/>
      <c r="F194" s="81"/>
      <c r="G194" s="82"/>
      <c r="H194" s="82"/>
      <c r="I194" s="82"/>
      <c r="J194" s="82"/>
      <c r="K194" s="82"/>
      <c r="L194" s="82"/>
      <c r="M194" s="82"/>
    </row>
    <row r="195" spans="1:13" x14ac:dyDescent="0.25">
      <c r="A195" s="84">
        <v>98</v>
      </c>
      <c r="B195" s="85" t="s">
        <v>249</v>
      </c>
      <c r="C195" s="125" t="str">
        <f>IF(ISNUMBER(A195),IF(ISERROR(MATCH(A195,Programa!#REF!,0)),"Nunca",(INDEX(Programa!$A:$A,12)-D195)/7&amp;" semanas"),"")</f>
        <v>Nunca</v>
      </c>
      <c r="D195" s="121" t="str">
        <f ca="1">IF(ISNUMBER(A195),IF(ISERROR(MATCH(A195,Programa!#REF!,0)),"",INDIRECT(ADDRESS(12+MATCH(A195,Programa!#REF!,0)-MOD(12+MATCH(A195,Programa!#REF!,0),12),1,,,"Programa"))),"")</f>
        <v/>
      </c>
      <c r="E195" s="81"/>
      <c r="F195" s="81"/>
      <c r="G195" s="82"/>
      <c r="H195" s="82"/>
      <c r="I195" s="82"/>
      <c r="J195" s="82"/>
      <c r="K195" s="82"/>
      <c r="L195" s="82"/>
      <c r="M195" s="82"/>
    </row>
    <row r="196" spans="1:13" x14ac:dyDescent="0.25">
      <c r="A196" s="84">
        <v>99</v>
      </c>
      <c r="B196" s="85" t="s">
        <v>250</v>
      </c>
      <c r="C196" s="125" t="str">
        <f>IF(ISNUMBER(A196),IF(ISERROR(MATCH(A196,Programa!#REF!,0)),"Nunca",(INDEX(Programa!$A:$A,12)-D196)/7&amp;" semanas"),"")</f>
        <v>Nunca</v>
      </c>
      <c r="D196" s="121" t="str">
        <f ca="1">IF(ISNUMBER(A196),IF(ISERROR(MATCH(A196,Programa!#REF!,0)),"",INDIRECT(ADDRESS(12+MATCH(A196,Programa!#REF!,0)-MOD(12+MATCH(A196,Programa!#REF!,0),12),1,,,"Programa"))),"")</f>
        <v/>
      </c>
      <c r="E196" s="81"/>
      <c r="F196" s="81"/>
      <c r="G196" s="82"/>
      <c r="H196" s="82"/>
      <c r="I196" s="82"/>
      <c r="J196" s="82"/>
      <c r="K196" s="82"/>
      <c r="L196" s="82"/>
      <c r="M196" s="82"/>
    </row>
    <row r="197" spans="1:13" x14ac:dyDescent="0.25">
      <c r="A197" s="84">
        <v>99</v>
      </c>
      <c r="B197" s="85" t="s">
        <v>251</v>
      </c>
      <c r="C197" s="125" t="str">
        <f>IF(ISNUMBER(A197),IF(ISERROR(MATCH(A197,Programa!#REF!,0)),"Nunca",(INDEX(Programa!$A:$A,12)-D197)/7&amp;" semanas"),"")</f>
        <v>Nunca</v>
      </c>
      <c r="D197" s="121" t="str">
        <f ca="1">IF(ISNUMBER(A197),IF(ISERROR(MATCH(A197,Programa!#REF!,0)),"",INDIRECT(ADDRESS(12+MATCH(A197,Programa!#REF!,0)-MOD(12+MATCH(A197,Programa!#REF!,0),12),1,,,"Programa"))),"")</f>
        <v/>
      </c>
      <c r="E197" s="81"/>
      <c r="F197" s="81"/>
      <c r="G197" s="82"/>
      <c r="H197" s="82"/>
      <c r="I197" s="82"/>
      <c r="J197" s="82"/>
      <c r="K197" s="82"/>
      <c r="L197" s="82"/>
      <c r="M197" s="82"/>
    </row>
    <row r="198" spans="1:13" x14ac:dyDescent="0.25">
      <c r="A198" s="84">
        <v>100</v>
      </c>
      <c r="B198" s="85" t="s">
        <v>252</v>
      </c>
      <c r="C198" s="125" t="str">
        <f>IF(ISNUMBER(A198),IF(ISERROR(MATCH(A198,Programa!#REF!,0)),"Nunca",(INDEX(Programa!$A:$A,12)-D198)/7&amp;" semanas"),"")</f>
        <v>Nunca</v>
      </c>
      <c r="D198" s="121" t="str">
        <f ca="1">IF(ISNUMBER(A198),IF(ISERROR(MATCH(A198,Programa!#REF!,0)),"",INDIRECT(ADDRESS(12+MATCH(A198,Programa!#REF!,0)-MOD(12+MATCH(A198,Programa!#REF!,0),12),1,,,"Programa"))),"")</f>
        <v/>
      </c>
      <c r="E198" s="81"/>
      <c r="F198" s="81"/>
      <c r="G198" s="82"/>
      <c r="H198" s="82"/>
      <c r="I198" s="82"/>
      <c r="J198" s="82"/>
      <c r="K198" s="82"/>
      <c r="L198" s="82"/>
      <c r="M198" s="82"/>
    </row>
    <row r="199" spans="1:13" x14ac:dyDescent="0.25">
      <c r="A199" s="84">
        <v>100</v>
      </c>
      <c r="B199" s="85" t="s">
        <v>253</v>
      </c>
      <c r="C199" s="125" t="str">
        <f>IF(ISNUMBER(A199),IF(ISERROR(MATCH(A199,Programa!#REF!,0)),"Nunca",(INDEX(Programa!$A:$A,12)-D199)/7&amp;" semanas"),"")</f>
        <v>Nunca</v>
      </c>
      <c r="D199" s="121" t="str">
        <f ca="1">IF(ISNUMBER(A199),IF(ISERROR(MATCH(A199,Programa!#REF!,0)),"",INDIRECT(ADDRESS(12+MATCH(A199,Programa!#REF!,0)-MOD(12+MATCH(A199,Programa!#REF!,0),12),1,,,"Programa"))),"")</f>
        <v/>
      </c>
      <c r="E199" s="81"/>
      <c r="F199" s="81"/>
      <c r="G199" s="82"/>
      <c r="H199" s="82"/>
      <c r="I199" s="82"/>
      <c r="J199" s="82"/>
      <c r="K199" s="82"/>
      <c r="L199" s="82"/>
      <c r="M199" s="82"/>
    </row>
    <row r="200" spans="1:13" x14ac:dyDescent="0.25">
      <c r="A200" s="84">
        <v>101</v>
      </c>
      <c r="B200" s="85" t="s">
        <v>254</v>
      </c>
      <c r="C200" s="125" t="str">
        <f>IF(ISNUMBER(A200),IF(ISERROR(MATCH(A200,Programa!#REF!,0)),"Nunca",(INDEX(Programa!$A:$A,12)-D200)/7&amp;" semanas"),"")</f>
        <v>Nunca</v>
      </c>
      <c r="D200" s="121" t="str">
        <f ca="1">IF(ISNUMBER(A200),IF(ISERROR(MATCH(A200,Programa!#REF!,0)),"",INDIRECT(ADDRESS(12+MATCH(A200,Programa!#REF!,0)-MOD(12+MATCH(A200,Programa!#REF!,0),12),1,,,"Programa"))),"")</f>
        <v/>
      </c>
      <c r="E200" s="81"/>
      <c r="F200" s="81"/>
      <c r="G200" s="82"/>
      <c r="H200" s="82"/>
      <c r="I200" s="82"/>
      <c r="J200" s="82"/>
      <c r="K200" s="82"/>
      <c r="L200" s="82"/>
      <c r="M200" s="82"/>
    </row>
    <row r="201" spans="1:13" x14ac:dyDescent="0.25">
      <c r="A201" s="84">
        <v>101</v>
      </c>
      <c r="B201" s="85" t="s">
        <v>255</v>
      </c>
      <c r="C201" s="125" t="str">
        <f>IF(ISNUMBER(A201),IF(ISERROR(MATCH(A201,Programa!#REF!,0)),"Nunca",(INDEX(Programa!$A:$A,12)-D201)/7&amp;" semanas"),"")</f>
        <v>Nunca</v>
      </c>
      <c r="D201" s="121" t="str">
        <f ca="1">IF(ISNUMBER(A201),IF(ISERROR(MATCH(A201,Programa!#REF!,0)),"",INDIRECT(ADDRESS(12+MATCH(A201,Programa!#REF!,0)-MOD(12+MATCH(A201,Programa!#REF!,0),12),1,,,"Programa"))),"")</f>
        <v/>
      </c>
      <c r="E201" s="81"/>
      <c r="F201" s="81"/>
      <c r="G201" s="82"/>
      <c r="H201" s="82"/>
      <c r="I201" s="82"/>
      <c r="J201" s="82"/>
      <c r="K201" s="82"/>
      <c r="L201" s="82"/>
      <c r="M201" s="82"/>
    </row>
    <row r="202" spans="1:13" x14ac:dyDescent="0.25">
      <c r="A202" s="84">
        <v>102</v>
      </c>
      <c r="B202" s="85" t="s">
        <v>256</v>
      </c>
      <c r="C202" s="125" t="str">
        <f>IF(ISNUMBER(A202),IF(ISERROR(MATCH(A202,Programa!#REF!,0)),"Nunca",(INDEX(Programa!$A:$A,12)-D202)/7&amp;" semanas"),"")</f>
        <v>Nunca</v>
      </c>
      <c r="D202" s="121" t="str">
        <f ca="1">IF(ISNUMBER(A202),IF(ISERROR(MATCH(A202,Programa!#REF!,0)),"",INDIRECT(ADDRESS(12+MATCH(A202,Programa!#REF!,0)-MOD(12+MATCH(A202,Programa!#REF!,0),12),1,,,"Programa"))),"")</f>
        <v/>
      </c>
      <c r="E202" s="81"/>
      <c r="F202" s="81"/>
      <c r="G202" s="82"/>
      <c r="H202" s="82"/>
      <c r="I202" s="82"/>
      <c r="J202" s="82"/>
      <c r="K202" s="82"/>
      <c r="L202" s="82"/>
      <c r="M202" s="82"/>
    </row>
    <row r="203" spans="1:13" x14ac:dyDescent="0.25">
      <c r="A203" s="84">
        <v>102</v>
      </c>
      <c r="B203" s="85" t="s">
        <v>257</v>
      </c>
      <c r="C203" s="125" t="str">
        <f>IF(ISNUMBER(A203),IF(ISERROR(MATCH(A203,Programa!#REF!,0)),"Nunca",(INDEX(Programa!$A:$A,12)-D203)/7&amp;" semanas"),"")</f>
        <v>Nunca</v>
      </c>
      <c r="D203" s="121" t="str">
        <f ca="1">IF(ISNUMBER(A203),IF(ISERROR(MATCH(A203,Programa!#REF!,0)),"",INDIRECT(ADDRESS(12+MATCH(A203,Programa!#REF!,0)-MOD(12+MATCH(A203,Programa!#REF!,0),12),1,,,"Programa"))),"")</f>
        <v/>
      </c>
      <c r="E203" s="81"/>
      <c r="F203" s="81"/>
      <c r="G203" s="82"/>
      <c r="H203" s="82"/>
      <c r="I203" s="82"/>
      <c r="J203" s="82"/>
      <c r="K203" s="82"/>
      <c r="L203" s="82"/>
      <c r="M203" s="82"/>
    </row>
    <row r="204" spans="1:13" x14ac:dyDescent="0.25">
      <c r="A204" s="84">
        <v>103</v>
      </c>
      <c r="B204" s="85" t="s">
        <v>258</v>
      </c>
      <c r="C204" s="125" t="str">
        <f>IF(ISNUMBER(A204),IF(ISERROR(MATCH(A204,Programa!#REF!,0)),"Nunca",(INDEX(Programa!$A:$A,12)-D204)/7&amp;" semanas"),"")</f>
        <v>Nunca</v>
      </c>
      <c r="D204" s="121" t="str">
        <f ca="1">IF(ISNUMBER(A204),IF(ISERROR(MATCH(A204,Programa!#REF!,0)),"",INDIRECT(ADDRESS(12+MATCH(A204,Programa!#REF!,0)-MOD(12+MATCH(A204,Programa!#REF!,0),12),1,,,"Programa"))),"")</f>
        <v/>
      </c>
      <c r="E204" s="81"/>
      <c r="F204" s="81"/>
      <c r="G204" s="82"/>
      <c r="H204" s="82"/>
      <c r="I204" s="82"/>
      <c r="J204" s="82"/>
      <c r="K204" s="82"/>
      <c r="L204" s="82"/>
      <c r="M204" s="82"/>
    </row>
    <row r="205" spans="1:13" x14ac:dyDescent="0.25">
      <c r="A205" s="84">
        <v>103</v>
      </c>
      <c r="B205" s="85" t="s">
        <v>259</v>
      </c>
      <c r="C205" s="125" t="str">
        <f>IF(ISNUMBER(A205),IF(ISERROR(MATCH(A205,Programa!#REF!,0)),"Nunca",(INDEX(Programa!$A:$A,12)-D205)/7&amp;" semanas"),"")</f>
        <v>Nunca</v>
      </c>
      <c r="D205" s="121" t="str">
        <f ca="1">IF(ISNUMBER(A205),IF(ISERROR(MATCH(A205,Programa!#REF!,0)),"",INDIRECT(ADDRESS(12+MATCH(A205,Programa!#REF!,0)-MOD(12+MATCH(A205,Programa!#REF!,0),12),1,,,"Programa"))),"")</f>
        <v/>
      </c>
      <c r="E205" s="81"/>
      <c r="F205" s="81"/>
      <c r="G205" s="82"/>
      <c r="H205" s="82"/>
      <c r="I205" s="82"/>
      <c r="J205" s="82"/>
      <c r="K205" s="82"/>
      <c r="L205" s="82"/>
      <c r="M205" s="82"/>
    </row>
    <row r="206" spans="1:13" x14ac:dyDescent="0.25">
      <c r="A206" s="84">
        <v>104</v>
      </c>
      <c r="B206" s="85" t="s">
        <v>260</v>
      </c>
      <c r="C206" s="125" t="str">
        <f>IF(ISNUMBER(A206),IF(ISERROR(MATCH(A206,Programa!#REF!,0)),"Nunca",(INDEX(Programa!$A:$A,12)-D206)/7&amp;" semanas"),"")</f>
        <v>Nunca</v>
      </c>
      <c r="D206" s="121" t="str">
        <f ca="1">IF(ISNUMBER(A206),IF(ISERROR(MATCH(A206,Programa!#REF!,0)),"",INDIRECT(ADDRESS(12+MATCH(A206,Programa!#REF!,0)-MOD(12+MATCH(A206,Programa!#REF!,0),12),1,,,"Programa"))),"")</f>
        <v/>
      </c>
      <c r="E206" s="81"/>
      <c r="F206" s="81"/>
      <c r="G206" s="82"/>
      <c r="H206" s="82"/>
      <c r="I206" s="82"/>
      <c r="J206" s="82"/>
      <c r="K206" s="82"/>
      <c r="L206" s="82"/>
      <c r="M206" s="82"/>
    </row>
    <row r="207" spans="1:13" x14ac:dyDescent="0.25">
      <c r="A207" s="84">
        <v>104</v>
      </c>
      <c r="B207" s="85" t="s">
        <v>261</v>
      </c>
      <c r="C207" s="125" t="str">
        <f>IF(ISNUMBER(A207),IF(ISERROR(MATCH(A207,Programa!#REF!,0)),"Nunca",(INDEX(Programa!$A:$A,12)-D207)/7&amp;" semanas"),"")</f>
        <v>Nunca</v>
      </c>
      <c r="D207" s="121" t="str">
        <f ca="1">IF(ISNUMBER(A207),IF(ISERROR(MATCH(A207,Programa!#REF!,0)),"",INDIRECT(ADDRESS(12+MATCH(A207,Programa!#REF!,0)-MOD(12+MATCH(A207,Programa!#REF!,0),12),1,,,"Programa"))),"")</f>
        <v/>
      </c>
      <c r="E207" s="81"/>
      <c r="F207" s="81"/>
      <c r="G207" s="82"/>
      <c r="H207" s="82"/>
      <c r="I207" s="82"/>
      <c r="J207" s="82"/>
      <c r="K207" s="82"/>
      <c r="L207" s="82"/>
      <c r="M207" s="82"/>
    </row>
    <row r="208" spans="1:13" x14ac:dyDescent="0.25">
      <c r="A208" s="84">
        <v>105</v>
      </c>
      <c r="B208" s="85" t="s">
        <v>262</v>
      </c>
      <c r="C208" s="125" t="str">
        <f>IF(ISNUMBER(A208),IF(ISERROR(MATCH(A208,Programa!#REF!,0)),"Nunca",(INDEX(Programa!$A:$A,12)-D208)/7&amp;" semanas"),"")</f>
        <v>Nunca</v>
      </c>
      <c r="D208" s="121" t="str">
        <f ca="1">IF(ISNUMBER(A208),IF(ISERROR(MATCH(A208,Programa!#REF!,0)),"",INDIRECT(ADDRESS(12+MATCH(A208,Programa!#REF!,0)-MOD(12+MATCH(A208,Programa!#REF!,0),12),1,,,"Programa"))),"")</f>
        <v/>
      </c>
      <c r="E208" s="81"/>
      <c r="F208" s="81"/>
      <c r="G208" s="82"/>
      <c r="H208" s="82"/>
      <c r="I208" s="82"/>
      <c r="J208" s="82"/>
      <c r="K208" s="82"/>
      <c r="L208" s="82"/>
      <c r="M208" s="82"/>
    </row>
    <row r="209" spans="1:13" x14ac:dyDescent="0.25">
      <c r="A209" s="84">
        <v>105</v>
      </c>
      <c r="B209" s="85" t="s">
        <v>263</v>
      </c>
      <c r="C209" s="125" t="str">
        <f>IF(ISNUMBER(A209),IF(ISERROR(MATCH(A209,Programa!#REF!,0)),"Nunca",(INDEX(Programa!$A:$A,12)-D209)/7&amp;" semanas"),"")</f>
        <v>Nunca</v>
      </c>
      <c r="D209" s="121" t="str">
        <f ca="1">IF(ISNUMBER(A209),IF(ISERROR(MATCH(A209,Programa!#REF!,0)),"",INDIRECT(ADDRESS(12+MATCH(A209,Programa!#REF!,0)-MOD(12+MATCH(A209,Programa!#REF!,0),12),1,,,"Programa"))),"")</f>
        <v/>
      </c>
      <c r="E209" s="81"/>
      <c r="F209" s="81"/>
      <c r="G209" s="82"/>
      <c r="H209" s="82"/>
      <c r="I209" s="82"/>
      <c r="J209" s="82"/>
      <c r="K209" s="82"/>
      <c r="L209" s="82"/>
      <c r="M209" s="82"/>
    </row>
    <row r="210" spans="1:13" x14ac:dyDescent="0.25">
      <c r="A210" s="84">
        <v>106</v>
      </c>
      <c r="B210" s="85" t="s">
        <v>264</v>
      </c>
      <c r="C210" s="125" t="str">
        <f>IF(ISNUMBER(A210),IF(ISERROR(MATCH(A210,Programa!#REF!,0)),"Nunca",(INDEX(Programa!$A:$A,12)-D210)/7&amp;" semanas"),"")</f>
        <v>Nunca</v>
      </c>
      <c r="D210" s="121" t="str">
        <f ca="1">IF(ISNUMBER(A210),IF(ISERROR(MATCH(A210,Programa!#REF!,0)),"",INDIRECT(ADDRESS(12+MATCH(A210,Programa!#REF!,0)-MOD(12+MATCH(A210,Programa!#REF!,0),12),1,,,"Programa"))),"")</f>
        <v/>
      </c>
      <c r="E210" s="81"/>
      <c r="F210" s="81"/>
      <c r="G210" s="82"/>
      <c r="H210" s="82"/>
      <c r="I210" s="82"/>
      <c r="J210" s="82"/>
      <c r="K210" s="82"/>
      <c r="L210" s="82"/>
      <c r="M210" s="82"/>
    </row>
    <row r="211" spans="1:13" x14ac:dyDescent="0.25">
      <c r="A211" s="84">
        <v>106</v>
      </c>
      <c r="B211" s="85" t="s">
        <v>265</v>
      </c>
      <c r="C211" s="125" t="str">
        <f>IF(ISNUMBER(A211),IF(ISERROR(MATCH(A211,Programa!#REF!,0)),"Nunca",(INDEX(Programa!$A:$A,12)-D211)/7&amp;" semanas"),"")</f>
        <v>Nunca</v>
      </c>
      <c r="D211" s="121" t="str">
        <f ca="1">IF(ISNUMBER(A211),IF(ISERROR(MATCH(A211,Programa!#REF!,0)),"",INDIRECT(ADDRESS(12+MATCH(A211,Programa!#REF!,0)-MOD(12+MATCH(A211,Programa!#REF!,0),12),1,,,"Programa"))),"")</f>
        <v/>
      </c>
      <c r="E211" s="81"/>
      <c r="F211" s="81"/>
      <c r="G211" s="82"/>
      <c r="H211" s="82"/>
      <c r="I211" s="82"/>
      <c r="J211" s="82"/>
      <c r="K211" s="82"/>
      <c r="L211" s="82"/>
      <c r="M211" s="82"/>
    </row>
    <row r="212" spans="1:13" x14ac:dyDescent="0.25">
      <c r="A212" s="84">
        <v>107</v>
      </c>
      <c r="B212" s="85" t="s">
        <v>266</v>
      </c>
      <c r="C212" s="125" t="str">
        <f>IF(ISNUMBER(A212),IF(ISERROR(MATCH(A212,Programa!#REF!,0)),"Nunca",(INDEX(Programa!$A:$A,12)-D212)/7&amp;" semanas"),"")</f>
        <v>Nunca</v>
      </c>
      <c r="D212" s="121" t="str">
        <f ca="1">IF(ISNUMBER(A212),IF(ISERROR(MATCH(A212,Programa!#REF!,0)),"",INDIRECT(ADDRESS(12+MATCH(A212,Programa!#REF!,0)-MOD(12+MATCH(A212,Programa!#REF!,0),12),1,,,"Programa"))),"")</f>
        <v/>
      </c>
      <c r="E212" s="81"/>
      <c r="F212" s="81"/>
      <c r="G212" s="82"/>
      <c r="H212" s="82"/>
      <c r="I212" s="82"/>
      <c r="J212" s="82"/>
      <c r="K212" s="82"/>
      <c r="L212" s="82"/>
      <c r="M212" s="82"/>
    </row>
    <row r="213" spans="1:13" x14ac:dyDescent="0.25">
      <c r="A213" s="84">
        <v>107</v>
      </c>
      <c r="B213" s="85" t="s">
        <v>267</v>
      </c>
      <c r="C213" s="125" t="str">
        <f>IF(ISNUMBER(A213),IF(ISERROR(MATCH(A213,Programa!#REF!,0)),"Nunca",(INDEX(Programa!$A:$A,12)-D213)/7&amp;" semanas"),"")</f>
        <v>Nunca</v>
      </c>
      <c r="D213" s="121" t="str">
        <f ca="1">IF(ISNUMBER(A213),IF(ISERROR(MATCH(A213,Programa!#REF!,0)),"",INDIRECT(ADDRESS(12+MATCH(A213,Programa!#REF!,0)-MOD(12+MATCH(A213,Programa!#REF!,0),12),1,,,"Programa"))),"")</f>
        <v/>
      </c>
      <c r="E213" s="81"/>
      <c r="F213" s="81"/>
      <c r="G213" s="82"/>
      <c r="H213" s="82"/>
      <c r="I213" s="82"/>
      <c r="J213" s="82"/>
      <c r="K213" s="82"/>
      <c r="L213" s="82"/>
      <c r="M213" s="82"/>
    </row>
    <row r="214" spans="1:13" x14ac:dyDescent="0.25">
      <c r="A214" s="84">
        <v>108</v>
      </c>
      <c r="B214" s="85" t="s">
        <v>268</v>
      </c>
      <c r="C214" s="125" t="str">
        <f>IF(ISNUMBER(A214),IF(ISERROR(MATCH(A214,Programa!#REF!,0)),"Nunca",(INDEX(Programa!$A:$A,12)-D214)/7&amp;" semanas"),"")</f>
        <v>Nunca</v>
      </c>
      <c r="D214" s="121" t="str">
        <f ca="1">IF(ISNUMBER(A214),IF(ISERROR(MATCH(A214,Programa!#REF!,0)),"",INDIRECT(ADDRESS(12+MATCH(A214,Programa!#REF!,0)-MOD(12+MATCH(A214,Programa!#REF!,0),12),1,,,"Programa"))),"")</f>
        <v/>
      </c>
      <c r="E214" s="81"/>
      <c r="F214" s="81"/>
      <c r="G214" s="82"/>
      <c r="H214" s="82"/>
      <c r="I214" s="82"/>
      <c r="J214" s="82"/>
      <c r="K214" s="82"/>
      <c r="L214" s="82"/>
      <c r="M214" s="82"/>
    </row>
    <row r="215" spans="1:13" x14ac:dyDescent="0.25">
      <c r="A215" s="84">
        <v>108</v>
      </c>
      <c r="B215" s="85" t="s">
        <v>269</v>
      </c>
      <c r="C215" s="125" t="str">
        <f>IF(ISNUMBER(A215),IF(ISERROR(MATCH(A215,Programa!#REF!,0)),"Nunca",(INDEX(Programa!$A:$A,12)-D215)/7&amp;" semanas"),"")</f>
        <v>Nunca</v>
      </c>
      <c r="D215" s="121" t="str">
        <f ca="1">IF(ISNUMBER(A215),IF(ISERROR(MATCH(A215,Programa!#REF!,0)),"",INDIRECT(ADDRESS(12+MATCH(A215,Programa!#REF!,0)-MOD(12+MATCH(A215,Programa!#REF!,0),12),1,,,"Programa"))),"")</f>
        <v/>
      </c>
      <c r="E215" s="81"/>
      <c r="F215" s="81"/>
      <c r="G215" s="82"/>
      <c r="H215" s="82"/>
      <c r="I215" s="82"/>
      <c r="J215" s="82"/>
      <c r="K215" s="82"/>
      <c r="L215" s="82"/>
      <c r="M215" s="82"/>
    </row>
    <row r="216" spans="1:13" x14ac:dyDescent="0.25">
      <c r="A216" s="84">
        <v>109</v>
      </c>
      <c r="B216" s="85" t="s">
        <v>270</v>
      </c>
      <c r="C216" s="125" t="str">
        <f>IF(ISNUMBER(A216),IF(ISERROR(MATCH(A216,Programa!#REF!,0)),"Nunca",(INDEX(Programa!$A:$A,12)-D216)/7&amp;" semanas"),"")</f>
        <v>Nunca</v>
      </c>
      <c r="D216" s="121" t="str">
        <f ca="1">IF(ISNUMBER(A216),IF(ISERROR(MATCH(A216,Programa!#REF!,0)),"",INDIRECT(ADDRESS(12+MATCH(A216,Programa!#REF!,0)-MOD(12+MATCH(A216,Programa!#REF!,0),12),1,,,"Programa"))),"")</f>
        <v/>
      </c>
      <c r="E216" s="81"/>
      <c r="F216" s="81"/>
      <c r="G216" s="82"/>
      <c r="H216" s="82"/>
      <c r="I216" s="82"/>
      <c r="J216" s="82"/>
      <c r="K216" s="82"/>
      <c r="L216" s="82"/>
      <c r="M216" s="82"/>
    </row>
    <row r="217" spans="1:13" x14ac:dyDescent="0.25">
      <c r="A217" s="84">
        <v>109</v>
      </c>
      <c r="B217" s="85" t="s">
        <v>271</v>
      </c>
      <c r="C217" s="125" t="str">
        <f>IF(ISNUMBER(A217),IF(ISERROR(MATCH(A217,Programa!#REF!,0)),"Nunca",(INDEX(Programa!$A:$A,12)-D217)/7&amp;" semanas"),"")</f>
        <v>Nunca</v>
      </c>
      <c r="D217" s="121" t="str">
        <f ca="1">IF(ISNUMBER(A217),IF(ISERROR(MATCH(A217,Programa!#REF!,0)),"",INDIRECT(ADDRESS(12+MATCH(A217,Programa!#REF!,0)-MOD(12+MATCH(A217,Programa!#REF!,0),12),1,,,"Programa"))),"")</f>
        <v/>
      </c>
      <c r="E217" s="81"/>
      <c r="F217" s="81"/>
      <c r="G217" s="82"/>
      <c r="H217" s="82"/>
      <c r="I217" s="82"/>
      <c r="J217" s="82"/>
      <c r="K217" s="82"/>
      <c r="L217" s="82"/>
      <c r="M217" s="82"/>
    </row>
    <row r="218" spans="1:13" x14ac:dyDescent="0.25">
      <c r="A218" s="84">
        <v>110</v>
      </c>
      <c r="B218" s="85" t="s">
        <v>272</v>
      </c>
      <c r="C218" s="125" t="str">
        <f>IF(ISNUMBER(A218),IF(ISERROR(MATCH(A218,Programa!#REF!,0)),"Nunca",(INDEX(Programa!$A:$A,12)-D218)/7&amp;" semanas"),"")</f>
        <v>Nunca</v>
      </c>
      <c r="D218" s="121" t="str">
        <f ca="1">IF(ISNUMBER(A218),IF(ISERROR(MATCH(A218,Programa!#REF!,0)),"",INDIRECT(ADDRESS(12+MATCH(A218,Programa!#REF!,0)-MOD(12+MATCH(A218,Programa!#REF!,0),12),1,,,"Programa"))),"")</f>
        <v/>
      </c>
      <c r="E218" s="81"/>
      <c r="F218" s="81"/>
      <c r="G218" s="82"/>
      <c r="H218" s="82"/>
      <c r="I218" s="82"/>
      <c r="J218" s="82"/>
      <c r="K218" s="82"/>
      <c r="L218" s="82"/>
      <c r="M218" s="82"/>
    </row>
    <row r="219" spans="1:13" x14ac:dyDescent="0.25">
      <c r="A219" s="84">
        <v>111</v>
      </c>
      <c r="B219" s="85" t="s">
        <v>273</v>
      </c>
      <c r="C219" s="125" t="str">
        <f>IF(ISNUMBER(A219),IF(ISERROR(MATCH(A219,Programa!#REF!,0)),"Nunca",(INDEX(Programa!$A:$A,12)-D219)/7&amp;" semanas"),"")</f>
        <v>Nunca</v>
      </c>
      <c r="D219" s="121" t="str">
        <f ca="1">IF(ISNUMBER(A219),IF(ISERROR(MATCH(A219,Programa!#REF!,0)),"",INDIRECT(ADDRESS(12+MATCH(A219,Programa!#REF!,0)-MOD(12+MATCH(A219,Programa!#REF!,0),12),1,,,"Programa"))),"")</f>
        <v/>
      </c>
      <c r="E219" s="81"/>
      <c r="F219" s="81"/>
      <c r="G219" s="82"/>
      <c r="H219" s="82"/>
      <c r="I219" s="82"/>
      <c r="J219" s="82"/>
      <c r="K219" s="82"/>
      <c r="L219" s="82"/>
      <c r="M219" s="82"/>
    </row>
    <row r="220" spans="1:13" x14ac:dyDescent="0.25">
      <c r="A220" s="84">
        <v>111</v>
      </c>
      <c r="B220" s="85" t="s">
        <v>274</v>
      </c>
      <c r="C220" s="125" t="str">
        <f>IF(ISNUMBER(A220),IF(ISERROR(MATCH(A220,Programa!#REF!,0)),"Nunca",(INDEX(Programa!$A:$A,12)-D220)/7&amp;" semanas"),"")</f>
        <v>Nunca</v>
      </c>
      <c r="D220" s="121" t="str">
        <f ca="1">IF(ISNUMBER(A220),IF(ISERROR(MATCH(A220,Programa!#REF!,0)),"",INDIRECT(ADDRESS(12+MATCH(A220,Programa!#REF!,0)-MOD(12+MATCH(A220,Programa!#REF!,0),12),1,,,"Programa"))),"")</f>
        <v/>
      </c>
      <c r="E220" s="81"/>
      <c r="F220" s="81"/>
      <c r="G220" s="82"/>
      <c r="H220" s="82"/>
      <c r="I220" s="82"/>
      <c r="J220" s="82"/>
      <c r="K220" s="82"/>
      <c r="L220" s="82"/>
      <c r="M220" s="82"/>
    </row>
    <row r="221" spans="1:13" x14ac:dyDescent="0.25">
      <c r="A221" s="84">
        <v>112</v>
      </c>
      <c r="B221" s="85" t="s">
        <v>275</v>
      </c>
      <c r="C221" s="125" t="str">
        <f>IF(ISNUMBER(A221),IF(ISERROR(MATCH(A221,Programa!#REF!,0)),"Nunca",(INDEX(Programa!$A:$A,12)-D221)/7&amp;" semanas"),"")</f>
        <v>Nunca</v>
      </c>
      <c r="D221" s="121" t="str">
        <f ca="1">IF(ISNUMBER(A221),IF(ISERROR(MATCH(A221,Programa!#REF!,0)),"",INDIRECT(ADDRESS(12+MATCH(A221,Programa!#REF!,0)-MOD(12+MATCH(A221,Programa!#REF!,0),12),1,,,"Programa"))),"")</f>
        <v/>
      </c>
      <c r="E221" s="81"/>
      <c r="F221" s="81"/>
      <c r="G221" s="82"/>
      <c r="H221" s="82"/>
      <c r="I221" s="82"/>
      <c r="J221" s="82"/>
      <c r="K221" s="82"/>
      <c r="L221" s="82"/>
      <c r="M221" s="82"/>
    </row>
    <row r="222" spans="1:13" x14ac:dyDescent="0.25">
      <c r="A222" s="84">
        <v>113</v>
      </c>
      <c r="B222" s="85" t="s">
        <v>276</v>
      </c>
      <c r="C222" s="125" t="str">
        <f>IF(ISNUMBER(A222),IF(ISERROR(MATCH(A222,Programa!#REF!,0)),"Nunca",(INDEX(Programa!$A:$A,12)-D222)/7&amp;" semanas"),"")</f>
        <v>Nunca</v>
      </c>
      <c r="D222" s="121" t="str">
        <f ca="1">IF(ISNUMBER(A222),IF(ISERROR(MATCH(A222,Programa!#REF!,0)),"",INDIRECT(ADDRESS(12+MATCH(A222,Programa!#REF!,0)-MOD(12+MATCH(A222,Programa!#REF!,0),12),1,,,"Programa"))),"")</f>
        <v/>
      </c>
      <c r="E222" s="81"/>
      <c r="F222" s="81"/>
      <c r="G222" s="82"/>
      <c r="H222" s="82"/>
      <c r="I222" s="82"/>
      <c r="J222" s="82"/>
      <c r="K222" s="82"/>
      <c r="L222" s="82"/>
      <c r="M222" s="82"/>
    </row>
    <row r="223" spans="1:13" x14ac:dyDescent="0.25">
      <c r="A223" s="84">
        <v>113</v>
      </c>
      <c r="B223" s="85" t="s">
        <v>277</v>
      </c>
      <c r="C223" s="125" t="str">
        <f>IF(ISNUMBER(A223),IF(ISERROR(MATCH(A223,Programa!#REF!,0)),"Nunca",(INDEX(Programa!$A:$A,12)-D223)/7&amp;" semanas"),"")</f>
        <v>Nunca</v>
      </c>
      <c r="D223" s="121" t="str">
        <f ca="1">IF(ISNUMBER(A223),IF(ISERROR(MATCH(A223,Programa!#REF!,0)),"",INDIRECT(ADDRESS(12+MATCH(A223,Programa!#REF!,0)-MOD(12+MATCH(A223,Programa!#REF!,0),12),1,,,"Programa"))),"")</f>
        <v/>
      </c>
      <c r="E223" s="81"/>
      <c r="F223" s="81"/>
      <c r="G223" s="82"/>
      <c r="H223" s="82"/>
      <c r="I223" s="82"/>
      <c r="J223" s="82"/>
      <c r="K223" s="82"/>
      <c r="L223" s="82"/>
      <c r="M223" s="82"/>
    </row>
    <row r="224" spans="1:13" x14ac:dyDescent="0.25">
      <c r="A224" s="84">
        <v>114</v>
      </c>
      <c r="B224" s="85" t="s">
        <v>278</v>
      </c>
      <c r="C224" s="125" t="str">
        <f>IF(ISNUMBER(A224),IF(ISERROR(MATCH(A224,Programa!#REF!,0)),"Nunca",(INDEX(Programa!$A:$A,12)-D224)/7&amp;" semanas"),"")</f>
        <v>Nunca</v>
      </c>
      <c r="D224" s="121" t="str">
        <f ca="1">IF(ISNUMBER(A224),IF(ISERROR(MATCH(A224,Programa!#REF!,0)),"",INDIRECT(ADDRESS(12+MATCH(A224,Programa!#REF!,0)-MOD(12+MATCH(A224,Programa!#REF!,0),12),1,,,"Programa"))),"")</f>
        <v/>
      </c>
      <c r="E224" s="81"/>
      <c r="F224" s="81"/>
      <c r="G224" s="82"/>
      <c r="H224" s="82"/>
      <c r="I224" s="82"/>
      <c r="J224" s="82"/>
      <c r="K224" s="82"/>
      <c r="L224" s="82"/>
      <c r="M224" s="82"/>
    </row>
    <row r="225" spans="1:13" x14ac:dyDescent="0.25">
      <c r="A225" s="84">
        <v>114</v>
      </c>
      <c r="B225" s="85" t="s">
        <v>279</v>
      </c>
      <c r="C225" s="125" t="str">
        <f>IF(ISNUMBER(A225),IF(ISERROR(MATCH(A225,Programa!#REF!,0)),"Nunca",(INDEX(Programa!$A:$A,12)-D225)/7&amp;" semanas"),"")</f>
        <v>Nunca</v>
      </c>
      <c r="D225" s="121" t="str">
        <f ca="1">IF(ISNUMBER(A225),IF(ISERROR(MATCH(A225,Programa!#REF!,0)),"",INDIRECT(ADDRESS(12+MATCH(A225,Programa!#REF!,0)-MOD(12+MATCH(A225,Programa!#REF!,0),12),1,,,"Programa"))),"")</f>
        <v/>
      </c>
      <c r="E225" s="81"/>
      <c r="F225" s="81"/>
      <c r="G225" s="82"/>
      <c r="H225" s="82"/>
      <c r="I225" s="82"/>
      <c r="J225" s="82"/>
      <c r="K225" s="82"/>
      <c r="L225" s="82"/>
      <c r="M225" s="82"/>
    </row>
    <row r="226" spans="1:13" x14ac:dyDescent="0.25">
      <c r="A226" s="84">
        <v>115</v>
      </c>
      <c r="B226" s="85" t="s">
        <v>280</v>
      </c>
      <c r="C226" s="125" t="str">
        <f>IF(ISNUMBER(A226),IF(ISERROR(MATCH(A226,Programa!#REF!,0)),"Nunca",(INDEX(Programa!$A:$A,12)-D226)/7&amp;" semanas"),"")</f>
        <v>Nunca</v>
      </c>
      <c r="D226" s="121" t="str">
        <f ca="1">IF(ISNUMBER(A226),IF(ISERROR(MATCH(A226,Programa!#REF!,0)),"",INDIRECT(ADDRESS(12+MATCH(A226,Programa!#REF!,0)-MOD(12+MATCH(A226,Programa!#REF!,0),12),1,,,"Programa"))),"")</f>
        <v/>
      </c>
      <c r="E226" s="81"/>
      <c r="F226" s="81"/>
      <c r="G226" s="82"/>
      <c r="H226" s="82"/>
      <c r="I226" s="82"/>
      <c r="J226" s="82"/>
      <c r="K226" s="82"/>
      <c r="L226" s="82"/>
      <c r="M226" s="82"/>
    </row>
    <row r="227" spans="1:13" x14ac:dyDescent="0.25">
      <c r="A227" s="84">
        <v>115</v>
      </c>
      <c r="B227" s="85" t="s">
        <v>281</v>
      </c>
      <c r="C227" s="125" t="str">
        <f>IF(ISNUMBER(A227),IF(ISERROR(MATCH(A227,Programa!#REF!,0)),"Nunca",(INDEX(Programa!$A:$A,12)-D227)/7&amp;" semanas"),"")</f>
        <v>Nunca</v>
      </c>
      <c r="D227" s="121" t="str">
        <f ca="1">IF(ISNUMBER(A227),IF(ISERROR(MATCH(A227,Programa!#REF!,0)),"",INDIRECT(ADDRESS(12+MATCH(A227,Programa!#REF!,0)-MOD(12+MATCH(A227,Programa!#REF!,0),12),1,,,"Programa"))),"")</f>
        <v/>
      </c>
      <c r="E227" s="81"/>
      <c r="F227" s="81"/>
      <c r="G227" s="82"/>
      <c r="H227" s="82"/>
      <c r="I227" s="82"/>
      <c r="J227" s="82"/>
      <c r="K227" s="82"/>
      <c r="L227" s="82"/>
      <c r="M227" s="82"/>
    </row>
    <row r="228" spans="1:13" x14ac:dyDescent="0.25">
      <c r="A228" s="84">
        <v>116</v>
      </c>
      <c r="B228" s="85" t="s">
        <v>282</v>
      </c>
      <c r="C228" s="125" t="str">
        <f>IF(ISNUMBER(A228),IF(ISERROR(MATCH(A228,Programa!#REF!,0)),"Nunca",(INDEX(Programa!$A:$A,12)-D228)/7&amp;" semanas"),"")</f>
        <v>Nunca</v>
      </c>
      <c r="D228" s="121" t="str">
        <f ca="1">IF(ISNUMBER(A228),IF(ISERROR(MATCH(A228,Programa!#REF!,0)),"",INDIRECT(ADDRESS(12+MATCH(A228,Programa!#REF!,0)-MOD(12+MATCH(A228,Programa!#REF!,0),12),1,,,"Programa"))),"")</f>
        <v/>
      </c>
      <c r="E228" s="81"/>
      <c r="F228" s="81"/>
      <c r="G228" s="82"/>
      <c r="H228" s="82"/>
      <c r="I228" s="82"/>
      <c r="J228" s="82"/>
      <c r="K228" s="82"/>
      <c r="L228" s="82"/>
      <c r="M228" s="82"/>
    </row>
    <row r="229" spans="1:13" x14ac:dyDescent="0.25">
      <c r="A229" s="84">
        <v>116</v>
      </c>
      <c r="B229" s="85" t="s">
        <v>283</v>
      </c>
      <c r="C229" s="125" t="str">
        <f>IF(ISNUMBER(A229),IF(ISERROR(MATCH(A229,Programa!#REF!,0)),"Nunca",(INDEX(Programa!$A:$A,12)-D229)/7&amp;" semanas"),"")</f>
        <v>Nunca</v>
      </c>
      <c r="D229" s="121" t="str">
        <f ca="1">IF(ISNUMBER(A229),IF(ISERROR(MATCH(A229,Programa!#REF!,0)),"",INDIRECT(ADDRESS(12+MATCH(A229,Programa!#REF!,0)-MOD(12+MATCH(A229,Programa!#REF!,0),12),1,,,"Programa"))),"")</f>
        <v/>
      </c>
      <c r="E229" s="81"/>
      <c r="F229" s="81"/>
      <c r="G229" s="82"/>
      <c r="H229" s="82"/>
      <c r="I229" s="82"/>
      <c r="J229" s="82"/>
      <c r="K229" s="82"/>
      <c r="L229" s="82"/>
      <c r="M229" s="82"/>
    </row>
    <row r="230" spans="1:13" x14ac:dyDescent="0.25">
      <c r="A230" s="84">
        <v>117</v>
      </c>
      <c r="B230" s="85" t="s">
        <v>284</v>
      </c>
      <c r="C230" s="125" t="str">
        <f>IF(ISNUMBER(A230),IF(ISERROR(MATCH(A230,Programa!#REF!,0)),"Nunca",(INDEX(Programa!$A:$A,12)-D230)/7&amp;" semanas"),"")</f>
        <v>Nunca</v>
      </c>
      <c r="D230" s="121" t="str">
        <f ca="1">IF(ISNUMBER(A230),IF(ISERROR(MATCH(A230,Programa!#REF!,0)),"",INDIRECT(ADDRESS(12+MATCH(A230,Programa!#REF!,0)-MOD(12+MATCH(A230,Programa!#REF!,0),12),1,,,"Programa"))),"")</f>
        <v/>
      </c>
      <c r="E230" s="81"/>
      <c r="F230" s="81"/>
      <c r="G230" s="82"/>
      <c r="H230" s="82"/>
      <c r="I230" s="82"/>
      <c r="J230" s="82"/>
      <c r="K230" s="82"/>
      <c r="L230" s="82"/>
      <c r="M230" s="82"/>
    </row>
    <row r="231" spans="1:13" x14ac:dyDescent="0.25">
      <c r="A231" s="84">
        <v>117</v>
      </c>
      <c r="B231" s="85" t="s">
        <v>285</v>
      </c>
      <c r="C231" s="125" t="str">
        <f>IF(ISNUMBER(A231),IF(ISERROR(MATCH(A231,Programa!#REF!,0)),"Nunca",(INDEX(Programa!$A:$A,12)-D231)/7&amp;" semanas"),"")</f>
        <v>Nunca</v>
      </c>
      <c r="D231" s="121" t="str">
        <f ca="1">IF(ISNUMBER(A231),IF(ISERROR(MATCH(A231,Programa!#REF!,0)),"",INDIRECT(ADDRESS(12+MATCH(A231,Programa!#REF!,0)-MOD(12+MATCH(A231,Programa!#REF!,0),12),1,,,"Programa"))),"")</f>
        <v/>
      </c>
      <c r="E231" s="81"/>
      <c r="F231" s="81"/>
      <c r="G231" s="82"/>
      <c r="H231" s="82"/>
      <c r="I231" s="82"/>
      <c r="J231" s="82"/>
      <c r="K231" s="82"/>
      <c r="L231" s="82"/>
      <c r="M231" s="82"/>
    </row>
    <row r="232" spans="1:13" x14ac:dyDescent="0.25">
      <c r="A232" s="84">
        <v>118</v>
      </c>
      <c r="B232" s="85" t="s">
        <v>286</v>
      </c>
      <c r="C232" s="125" t="str">
        <f>IF(ISNUMBER(A232),IF(ISERROR(MATCH(A232,Programa!#REF!,0)),"Nunca",(INDEX(Programa!$A:$A,12)-D232)/7&amp;" semanas"),"")</f>
        <v>Nunca</v>
      </c>
      <c r="D232" s="121" t="str">
        <f ca="1">IF(ISNUMBER(A232),IF(ISERROR(MATCH(A232,Programa!#REF!,0)),"",INDIRECT(ADDRESS(12+MATCH(A232,Programa!#REF!,0)-MOD(12+MATCH(A232,Programa!#REF!,0),12),1,,,"Programa"))),"")</f>
        <v/>
      </c>
      <c r="E232" s="81"/>
      <c r="F232" s="81"/>
      <c r="G232" s="82"/>
      <c r="H232" s="82"/>
      <c r="I232" s="82"/>
      <c r="J232" s="82"/>
      <c r="K232" s="82"/>
      <c r="L232" s="82"/>
      <c r="M232" s="82"/>
    </row>
    <row r="233" spans="1:13" x14ac:dyDescent="0.25">
      <c r="A233" s="84">
        <v>118</v>
      </c>
      <c r="B233" s="85" t="s">
        <v>287</v>
      </c>
      <c r="C233" s="125" t="str">
        <f>IF(ISNUMBER(A233),IF(ISERROR(MATCH(A233,Programa!#REF!,0)),"Nunca",(INDEX(Programa!$A:$A,12)-D233)/7&amp;" semanas"),"")</f>
        <v>Nunca</v>
      </c>
      <c r="D233" s="121" t="str">
        <f ca="1">IF(ISNUMBER(A233),IF(ISERROR(MATCH(A233,Programa!#REF!,0)),"",INDIRECT(ADDRESS(12+MATCH(A233,Programa!#REF!,0)-MOD(12+MATCH(A233,Programa!#REF!,0),12),1,,,"Programa"))),"")</f>
        <v/>
      </c>
      <c r="E233" s="81"/>
      <c r="F233" s="81"/>
      <c r="G233" s="82"/>
      <c r="H233" s="82"/>
      <c r="I233" s="82"/>
      <c r="J233" s="82"/>
      <c r="K233" s="82"/>
      <c r="L233" s="82"/>
      <c r="M233" s="82"/>
    </row>
    <row r="234" spans="1:13" x14ac:dyDescent="0.25">
      <c r="A234" s="84">
        <v>119</v>
      </c>
      <c r="B234" s="85" t="s">
        <v>288</v>
      </c>
      <c r="C234" s="125" t="str">
        <f>IF(ISNUMBER(A234),IF(ISERROR(MATCH(A234,Programa!#REF!,0)),"Nunca",(INDEX(Programa!$A:$A,12)-D234)/7&amp;" semanas"),"")</f>
        <v>Nunca</v>
      </c>
      <c r="D234" s="121" t="str">
        <f ca="1">IF(ISNUMBER(A234),IF(ISERROR(MATCH(A234,Programa!#REF!,0)),"",INDIRECT(ADDRESS(12+MATCH(A234,Programa!#REF!,0)-MOD(12+MATCH(A234,Programa!#REF!,0),12),1,,,"Programa"))),"")</f>
        <v/>
      </c>
      <c r="E234" s="81"/>
      <c r="F234" s="81"/>
      <c r="G234" s="82"/>
      <c r="H234" s="82"/>
      <c r="I234" s="82"/>
      <c r="J234" s="82"/>
      <c r="K234" s="82"/>
      <c r="L234" s="82"/>
      <c r="M234" s="82"/>
    </row>
    <row r="235" spans="1:13" x14ac:dyDescent="0.25">
      <c r="A235" s="84">
        <v>119</v>
      </c>
      <c r="B235" s="85" t="s">
        <v>289</v>
      </c>
      <c r="C235" s="125" t="str">
        <f>IF(ISNUMBER(A235),IF(ISERROR(MATCH(A235,Programa!#REF!,0)),"Nunca",(INDEX(Programa!$A:$A,12)-D235)/7&amp;" semanas"),"")</f>
        <v>Nunca</v>
      </c>
      <c r="D235" s="121" t="str">
        <f ca="1">IF(ISNUMBER(A235),IF(ISERROR(MATCH(A235,Programa!#REF!,0)),"",INDIRECT(ADDRESS(12+MATCH(A235,Programa!#REF!,0)-MOD(12+MATCH(A235,Programa!#REF!,0),12),1,,,"Programa"))),"")</f>
        <v/>
      </c>
      <c r="E235" s="81"/>
      <c r="F235" s="81"/>
      <c r="G235" s="82"/>
      <c r="H235" s="82"/>
      <c r="I235" s="82"/>
      <c r="J235" s="82"/>
      <c r="K235" s="82"/>
      <c r="L235" s="82"/>
      <c r="M235" s="82"/>
    </row>
    <row r="236" spans="1:13" x14ac:dyDescent="0.25">
      <c r="A236" s="84">
        <v>120</v>
      </c>
      <c r="B236" s="85" t="s">
        <v>290</v>
      </c>
      <c r="C236" s="125" t="str">
        <f>IF(ISNUMBER(A236),IF(ISERROR(MATCH(A236,Programa!#REF!,0)),"Nunca",(INDEX(Programa!$A:$A,12)-D236)/7&amp;" semanas"),"")</f>
        <v>Nunca</v>
      </c>
      <c r="D236" s="121" t="str">
        <f ca="1">IF(ISNUMBER(A236),IF(ISERROR(MATCH(A236,Programa!#REF!,0)),"",INDIRECT(ADDRESS(12+MATCH(A236,Programa!#REF!,0)-MOD(12+MATCH(A236,Programa!#REF!,0),12),1,,,"Programa"))),"")</f>
        <v/>
      </c>
      <c r="E236" s="81"/>
      <c r="F236" s="81"/>
      <c r="G236" s="82"/>
      <c r="H236" s="82"/>
      <c r="I236" s="82"/>
      <c r="J236" s="82"/>
      <c r="K236" s="82"/>
      <c r="L236" s="82"/>
      <c r="M236" s="82"/>
    </row>
    <row r="237" spans="1:13" x14ac:dyDescent="0.25">
      <c r="A237" s="84">
        <v>120</v>
      </c>
      <c r="B237" s="85" t="s">
        <v>291</v>
      </c>
      <c r="C237" s="125" t="str">
        <f>IF(ISNUMBER(A237),IF(ISERROR(MATCH(A237,Programa!#REF!,0)),"Nunca",(INDEX(Programa!$A:$A,12)-D237)/7&amp;" semanas"),"")</f>
        <v>Nunca</v>
      </c>
      <c r="D237" s="121" t="str">
        <f ca="1">IF(ISNUMBER(A237),IF(ISERROR(MATCH(A237,Programa!#REF!,0)),"",INDIRECT(ADDRESS(12+MATCH(A237,Programa!#REF!,0)-MOD(12+MATCH(A237,Programa!#REF!,0),12),1,,,"Programa"))),"")</f>
        <v/>
      </c>
      <c r="E237" s="81"/>
      <c r="F237" s="81"/>
      <c r="G237" s="82"/>
      <c r="H237" s="82"/>
      <c r="I237" s="82"/>
      <c r="J237" s="82"/>
      <c r="K237" s="82"/>
      <c r="L237" s="82"/>
      <c r="M237" s="82"/>
    </row>
    <row r="238" spans="1:13" x14ac:dyDescent="0.25">
      <c r="A238" s="84">
        <v>121</v>
      </c>
      <c r="B238" s="85" t="s">
        <v>292</v>
      </c>
      <c r="C238" s="125" t="str">
        <f>IF(ISNUMBER(A238),IF(ISERROR(MATCH(A238,Programa!#REF!,0)),"Nunca",(INDEX(Programa!$A:$A,12)-D238)/7&amp;" semanas"),"")</f>
        <v>Nunca</v>
      </c>
      <c r="D238" s="121" t="str">
        <f ca="1">IF(ISNUMBER(A238),IF(ISERROR(MATCH(A238,Programa!#REF!,0)),"",INDIRECT(ADDRESS(12+MATCH(A238,Programa!#REF!,0)-MOD(12+MATCH(A238,Programa!#REF!,0),12),1,,,"Programa"))),"")</f>
        <v/>
      </c>
      <c r="E238" s="81"/>
      <c r="F238" s="81"/>
      <c r="G238" s="82"/>
      <c r="H238" s="82"/>
      <c r="I238" s="82"/>
      <c r="J238" s="82"/>
      <c r="K238" s="82"/>
      <c r="L238" s="82"/>
      <c r="M238" s="82"/>
    </row>
    <row r="239" spans="1:13" x14ac:dyDescent="0.25">
      <c r="A239" s="84">
        <v>121</v>
      </c>
      <c r="B239" s="85" t="s">
        <v>293</v>
      </c>
      <c r="C239" s="125" t="str">
        <f>IF(ISNUMBER(A239),IF(ISERROR(MATCH(A239,Programa!#REF!,0)),"Nunca",(INDEX(Programa!$A:$A,12)-D239)/7&amp;" semanas"),"")</f>
        <v>Nunca</v>
      </c>
      <c r="D239" s="121" t="str">
        <f ca="1">IF(ISNUMBER(A239),IF(ISERROR(MATCH(A239,Programa!#REF!,0)),"",INDIRECT(ADDRESS(12+MATCH(A239,Programa!#REF!,0)-MOD(12+MATCH(A239,Programa!#REF!,0),12),1,,,"Programa"))),"")</f>
        <v/>
      </c>
      <c r="E239" s="81"/>
      <c r="F239" s="81"/>
      <c r="G239" s="82"/>
      <c r="H239" s="82"/>
      <c r="I239" s="82"/>
      <c r="J239" s="82"/>
      <c r="K239" s="82"/>
      <c r="L239" s="82"/>
      <c r="M239" s="82"/>
    </row>
    <row r="240" spans="1:13" x14ac:dyDescent="0.25">
      <c r="A240" s="84">
        <v>122</v>
      </c>
      <c r="B240" s="85" t="s">
        <v>294</v>
      </c>
      <c r="C240" s="125" t="str">
        <f>IF(ISNUMBER(A240),IF(ISERROR(MATCH(A240,Programa!#REF!,0)),"Nunca",(INDEX(Programa!$A:$A,12)-D240)/7&amp;" semanas"),"")</f>
        <v>Nunca</v>
      </c>
      <c r="D240" s="121" t="str">
        <f ca="1">IF(ISNUMBER(A240),IF(ISERROR(MATCH(A240,Programa!#REF!,0)),"",INDIRECT(ADDRESS(12+MATCH(A240,Programa!#REF!,0)-MOD(12+MATCH(A240,Programa!#REF!,0),12),1,,,"Programa"))),"")</f>
        <v/>
      </c>
      <c r="E240" s="81"/>
      <c r="F240" s="81"/>
      <c r="G240" s="82"/>
      <c r="H240" s="82"/>
      <c r="I240" s="82"/>
      <c r="J240" s="82"/>
      <c r="K240" s="82"/>
      <c r="L240" s="82"/>
      <c r="M240" s="82"/>
    </row>
    <row r="241" spans="1:13" x14ac:dyDescent="0.25">
      <c r="A241" s="84">
        <v>122</v>
      </c>
      <c r="B241" s="85" t="s">
        <v>295</v>
      </c>
      <c r="C241" s="125" t="str">
        <f>IF(ISNUMBER(A241),IF(ISERROR(MATCH(A241,Programa!#REF!,0)),"Nunca",(INDEX(Programa!$A:$A,12)-D241)/7&amp;" semanas"),"")</f>
        <v>Nunca</v>
      </c>
      <c r="D241" s="121" t="str">
        <f ca="1">IF(ISNUMBER(A241),IF(ISERROR(MATCH(A241,Programa!#REF!,0)),"",INDIRECT(ADDRESS(12+MATCH(A241,Programa!#REF!,0)-MOD(12+MATCH(A241,Programa!#REF!,0),12),1,,,"Programa"))),"")</f>
        <v/>
      </c>
      <c r="E241" s="81"/>
      <c r="F241" s="81"/>
      <c r="G241" s="82"/>
      <c r="H241" s="82"/>
      <c r="I241" s="82"/>
      <c r="J241" s="82"/>
      <c r="K241" s="82"/>
      <c r="L241" s="82"/>
      <c r="M241" s="82"/>
    </row>
    <row r="242" spans="1:13" x14ac:dyDescent="0.25">
      <c r="A242" s="84">
        <v>123</v>
      </c>
      <c r="B242" s="85" t="s">
        <v>296</v>
      </c>
      <c r="C242" s="125" t="str">
        <f>IF(ISNUMBER(A242),IF(ISERROR(MATCH(A242,Programa!#REF!,0)),"Nunca",(INDEX(Programa!$A:$A,12)-D242)/7&amp;" semanas"),"")</f>
        <v>Nunca</v>
      </c>
      <c r="D242" s="121" t="str">
        <f ca="1">IF(ISNUMBER(A242),IF(ISERROR(MATCH(A242,Programa!#REF!,0)),"",INDIRECT(ADDRESS(12+MATCH(A242,Programa!#REF!,0)-MOD(12+MATCH(A242,Programa!#REF!,0),12),1,,,"Programa"))),"")</f>
        <v/>
      </c>
      <c r="E242" s="81"/>
      <c r="F242" s="81"/>
      <c r="G242" s="82"/>
      <c r="H242" s="82"/>
      <c r="I242" s="82"/>
      <c r="J242" s="82"/>
      <c r="K242" s="82"/>
      <c r="L242" s="82"/>
      <c r="M242" s="82"/>
    </row>
    <row r="243" spans="1:13" x14ac:dyDescent="0.25">
      <c r="A243" s="84">
        <v>123</v>
      </c>
      <c r="B243" s="85" t="s">
        <v>297</v>
      </c>
      <c r="C243" s="125" t="str">
        <f>IF(ISNUMBER(A243),IF(ISERROR(MATCH(A243,Programa!#REF!,0)),"Nunca",(INDEX(Programa!$A:$A,12)-D243)/7&amp;" semanas"),"")</f>
        <v>Nunca</v>
      </c>
      <c r="D243" s="121" t="str">
        <f ca="1">IF(ISNUMBER(A243),IF(ISERROR(MATCH(A243,Programa!#REF!,0)),"",INDIRECT(ADDRESS(12+MATCH(A243,Programa!#REF!,0)-MOD(12+MATCH(A243,Programa!#REF!,0),12),1,,,"Programa"))),"")</f>
        <v/>
      </c>
      <c r="E243" s="81"/>
      <c r="F243" s="81"/>
      <c r="G243" s="82"/>
      <c r="H243" s="82"/>
      <c r="I243" s="82"/>
      <c r="J243" s="82"/>
      <c r="K243" s="82"/>
      <c r="L243" s="82"/>
      <c r="M243" s="82"/>
    </row>
    <row r="244" spans="1:13" x14ac:dyDescent="0.25">
      <c r="A244" s="84">
        <v>124</v>
      </c>
      <c r="B244" s="85" t="s">
        <v>298</v>
      </c>
      <c r="C244" s="125" t="str">
        <f>IF(ISNUMBER(A244),IF(ISERROR(MATCH(A244,Programa!#REF!,0)),"Nunca",(INDEX(Programa!$A:$A,12)-D244)/7&amp;" semanas"),"")</f>
        <v>Nunca</v>
      </c>
      <c r="D244" s="121" t="str">
        <f ca="1">IF(ISNUMBER(A244),IF(ISERROR(MATCH(A244,Programa!#REF!,0)),"",INDIRECT(ADDRESS(12+MATCH(A244,Programa!#REF!,0)-MOD(12+MATCH(A244,Programa!#REF!,0),12),1,,,"Programa"))),"")</f>
        <v/>
      </c>
      <c r="E244" s="81"/>
      <c r="F244" s="81"/>
      <c r="G244" s="82"/>
      <c r="H244" s="82"/>
      <c r="I244" s="82"/>
      <c r="J244" s="82"/>
      <c r="K244" s="82"/>
      <c r="L244" s="82"/>
      <c r="M244" s="82"/>
    </row>
    <row r="245" spans="1:13" x14ac:dyDescent="0.25">
      <c r="A245" s="84">
        <v>124</v>
      </c>
      <c r="B245" s="85" t="s">
        <v>299</v>
      </c>
      <c r="C245" s="125" t="str">
        <f>IF(ISNUMBER(A245),IF(ISERROR(MATCH(A245,Programa!#REF!,0)),"Nunca",(INDEX(Programa!$A:$A,12)-D245)/7&amp;" semanas"),"")</f>
        <v>Nunca</v>
      </c>
      <c r="D245" s="121" t="str">
        <f ca="1">IF(ISNUMBER(A245),IF(ISERROR(MATCH(A245,Programa!#REF!,0)),"",INDIRECT(ADDRESS(12+MATCH(A245,Programa!#REF!,0)-MOD(12+MATCH(A245,Programa!#REF!,0),12),1,,,"Programa"))),"")</f>
        <v/>
      </c>
      <c r="E245" s="81"/>
      <c r="F245" s="81"/>
      <c r="G245" s="82"/>
      <c r="H245" s="82"/>
      <c r="I245" s="82"/>
      <c r="J245" s="82"/>
      <c r="K245" s="82"/>
      <c r="L245" s="82"/>
      <c r="M245" s="82"/>
    </row>
    <row r="246" spans="1:13" x14ac:dyDescent="0.25">
      <c r="A246" s="84">
        <v>125</v>
      </c>
      <c r="B246" s="85" t="s">
        <v>300</v>
      </c>
      <c r="C246" s="125" t="str">
        <f>IF(ISNUMBER(A246),IF(ISERROR(MATCH(A246,Programa!#REF!,0)),"Nunca",(INDEX(Programa!$A:$A,12)-D246)/7&amp;" semanas"),"")</f>
        <v>Nunca</v>
      </c>
      <c r="D246" s="121" t="str">
        <f ca="1">IF(ISNUMBER(A246),IF(ISERROR(MATCH(A246,Programa!#REF!,0)),"",INDIRECT(ADDRESS(12+MATCH(A246,Programa!#REF!,0)-MOD(12+MATCH(A246,Programa!#REF!,0),12),1,,,"Programa"))),"")</f>
        <v/>
      </c>
      <c r="E246" s="81"/>
      <c r="F246" s="81"/>
      <c r="G246" s="82"/>
      <c r="H246" s="82"/>
      <c r="I246" s="82"/>
      <c r="J246" s="82"/>
      <c r="K246" s="82"/>
      <c r="L246" s="82"/>
      <c r="M246" s="82"/>
    </row>
    <row r="247" spans="1:13" x14ac:dyDescent="0.25">
      <c r="A247" s="84">
        <v>125</v>
      </c>
      <c r="B247" s="85" t="s">
        <v>301</v>
      </c>
      <c r="C247" s="125" t="str">
        <f>IF(ISNUMBER(A247),IF(ISERROR(MATCH(A247,Programa!#REF!,0)),"Nunca",(INDEX(Programa!$A:$A,12)-D247)/7&amp;" semanas"),"")</f>
        <v>Nunca</v>
      </c>
      <c r="D247" s="121" t="str">
        <f ca="1">IF(ISNUMBER(A247),IF(ISERROR(MATCH(A247,Programa!#REF!,0)),"",INDIRECT(ADDRESS(12+MATCH(A247,Programa!#REF!,0)-MOD(12+MATCH(A247,Programa!#REF!,0),12),1,,,"Programa"))),"")</f>
        <v/>
      </c>
      <c r="E247" s="81"/>
      <c r="F247" s="81"/>
      <c r="G247" s="82"/>
      <c r="H247" s="82"/>
      <c r="I247" s="82"/>
      <c r="J247" s="82"/>
      <c r="K247" s="82"/>
      <c r="L247" s="82"/>
      <c r="M247" s="82"/>
    </row>
    <row r="248" spans="1:13" x14ac:dyDescent="0.25">
      <c r="A248" s="84">
        <v>126</v>
      </c>
      <c r="B248" s="85" t="s">
        <v>302</v>
      </c>
      <c r="C248" s="125" t="str">
        <f>IF(ISNUMBER(A248),IF(ISERROR(MATCH(A248,Programa!#REF!,0)),"Nunca",(INDEX(Programa!$A:$A,12)-D248)/7&amp;" semanas"),"")</f>
        <v>Nunca</v>
      </c>
      <c r="D248" s="121" t="str">
        <f ca="1">IF(ISNUMBER(A248),IF(ISERROR(MATCH(A248,Programa!#REF!,0)),"",INDIRECT(ADDRESS(12+MATCH(A248,Programa!#REF!,0)-MOD(12+MATCH(A248,Programa!#REF!,0),12),1,,,"Programa"))),"")</f>
        <v/>
      </c>
      <c r="E248" s="81"/>
      <c r="F248" s="81"/>
      <c r="G248" s="82"/>
      <c r="H248" s="82"/>
      <c r="I248" s="82"/>
      <c r="J248" s="82"/>
      <c r="K248" s="82"/>
      <c r="L248" s="82"/>
      <c r="M248" s="82"/>
    </row>
    <row r="249" spans="1:13" x14ac:dyDescent="0.25">
      <c r="A249" s="84">
        <v>126</v>
      </c>
      <c r="B249" s="85" t="s">
        <v>303</v>
      </c>
      <c r="C249" s="125" t="str">
        <f>IF(ISNUMBER(A249),IF(ISERROR(MATCH(A249,Programa!#REF!,0)),"Nunca",(INDEX(Programa!$A:$A,12)-D249)/7&amp;" semanas"),"")</f>
        <v>Nunca</v>
      </c>
      <c r="D249" s="121" t="str">
        <f ca="1">IF(ISNUMBER(A249),IF(ISERROR(MATCH(A249,Programa!#REF!,0)),"",INDIRECT(ADDRESS(12+MATCH(A249,Programa!#REF!,0)-MOD(12+MATCH(A249,Programa!#REF!,0),12),1,,,"Programa"))),"")</f>
        <v/>
      </c>
      <c r="E249" s="81"/>
      <c r="F249" s="81"/>
      <c r="G249" s="82"/>
      <c r="H249" s="82"/>
      <c r="I249" s="82"/>
      <c r="J249" s="82"/>
      <c r="K249" s="82"/>
      <c r="L249" s="82"/>
      <c r="M249" s="82"/>
    </row>
    <row r="250" spans="1:13" x14ac:dyDescent="0.25">
      <c r="A250" s="84">
        <v>127</v>
      </c>
      <c r="B250" s="85" t="s">
        <v>304</v>
      </c>
      <c r="C250" s="125" t="str">
        <f>IF(ISNUMBER(A250),IF(ISERROR(MATCH(A250,Programa!#REF!,0)),"Nunca",(INDEX(Programa!$A:$A,12)-D250)/7&amp;" semanas"),"")</f>
        <v>Nunca</v>
      </c>
      <c r="D250" s="121" t="str">
        <f ca="1">IF(ISNUMBER(A250),IF(ISERROR(MATCH(A250,Programa!#REF!,0)),"",INDIRECT(ADDRESS(12+MATCH(A250,Programa!#REF!,0)-MOD(12+MATCH(A250,Programa!#REF!,0),12),1,,,"Programa"))),"")</f>
        <v/>
      </c>
      <c r="E250" s="81"/>
      <c r="F250" s="81"/>
      <c r="G250" s="82"/>
      <c r="H250" s="82"/>
      <c r="I250" s="82"/>
      <c r="J250" s="82"/>
      <c r="K250" s="82"/>
      <c r="L250" s="82"/>
      <c r="M250" s="82"/>
    </row>
    <row r="251" spans="1:13" x14ac:dyDescent="0.25">
      <c r="A251" s="84">
        <v>127</v>
      </c>
      <c r="B251" s="85" t="s">
        <v>305</v>
      </c>
      <c r="C251" s="125" t="str">
        <f>IF(ISNUMBER(A251),IF(ISERROR(MATCH(A251,Programa!#REF!,0)),"Nunca",(INDEX(Programa!$A:$A,12)-D251)/7&amp;" semanas"),"")</f>
        <v>Nunca</v>
      </c>
      <c r="D251" s="121" t="str">
        <f ca="1">IF(ISNUMBER(A251),IF(ISERROR(MATCH(A251,Programa!#REF!,0)),"",INDIRECT(ADDRESS(12+MATCH(A251,Programa!#REF!,0)-MOD(12+MATCH(A251,Programa!#REF!,0),12),1,,,"Programa"))),"")</f>
        <v/>
      </c>
      <c r="E251" s="81"/>
      <c r="F251" s="81"/>
      <c r="G251" s="82"/>
      <c r="H251" s="82"/>
      <c r="I251" s="82"/>
      <c r="J251" s="82"/>
      <c r="K251" s="82"/>
      <c r="L251" s="82"/>
      <c r="M251" s="82"/>
    </row>
    <row r="252" spans="1:13" x14ac:dyDescent="0.25">
      <c r="A252" s="84">
        <v>128</v>
      </c>
      <c r="B252" s="85" t="s">
        <v>306</v>
      </c>
      <c r="C252" s="125" t="str">
        <f>IF(ISNUMBER(A252),IF(ISERROR(MATCH(A252,Programa!#REF!,0)),"Nunca",(INDEX(Programa!$A:$A,12)-D252)/7&amp;" semanas"),"")</f>
        <v>Nunca</v>
      </c>
      <c r="D252" s="121" t="str">
        <f ca="1">IF(ISNUMBER(A252),IF(ISERROR(MATCH(A252,Programa!#REF!,0)),"",INDIRECT(ADDRESS(12+MATCH(A252,Programa!#REF!,0)-MOD(12+MATCH(A252,Programa!#REF!,0),12),1,,,"Programa"))),"")</f>
        <v/>
      </c>
      <c r="E252" s="81"/>
      <c r="F252" s="81"/>
      <c r="G252" s="82"/>
      <c r="H252" s="82"/>
      <c r="I252" s="82"/>
      <c r="J252" s="82"/>
      <c r="K252" s="82"/>
      <c r="L252" s="82"/>
      <c r="M252" s="82"/>
    </row>
    <row r="253" spans="1:13" x14ac:dyDescent="0.25">
      <c r="A253" s="84">
        <v>128</v>
      </c>
      <c r="B253" s="85" t="s">
        <v>307</v>
      </c>
      <c r="C253" s="125" t="str">
        <f>IF(ISNUMBER(A253),IF(ISERROR(MATCH(A253,Programa!#REF!,0)),"Nunca",(INDEX(Programa!$A:$A,12)-D253)/7&amp;" semanas"),"")</f>
        <v>Nunca</v>
      </c>
      <c r="D253" s="121" t="str">
        <f ca="1">IF(ISNUMBER(A253),IF(ISERROR(MATCH(A253,Programa!#REF!,0)),"",INDIRECT(ADDRESS(12+MATCH(A253,Programa!#REF!,0)-MOD(12+MATCH(A253,Programa!#REF!,0),12),1,,,"Programa"))),"")</f>
        <v/>
      </c>
      <c r="E253" s="81"/>
      <c r="F253" s="81"/>
      <c r="G253" s="82"/>
      <c r="H253" s="82"/>
      <c r="I253" s="82"/>
      <c r="J253" s="82"/>
      <c r="K253" s="82"/>
      <c r="L253" s="82"/>
      <c r="M253" s="82"/>
    </row>
    <row r="254" spans="1:13" x14ac:dyDescent="0.25">
      <c r="A254" s="84">
        <v>129</v>
      </c>
      <c r="B254" s="85" t="s">
        <v>308</v>
      </c>
      <c r="C254" s="125" t="str">
        <f>IF(ISNUMBER(A254),IF(ISERROR(MATCH(A254,Programa!#REF!,0)),"Nunca",(INDEX(Programa!$A:$A,12)-D254)/7&amp;" semanas"),"")</f>
        <v>Nunca</v>
      </c>
      <c r="D254" s="121" t="str">
        <f ca="1">IF(ISNUMBER(A254),IF(ISERROR(MATCH(A254,Programa!#REF!,0)),"",INDIRECT(ADDRESS(12+MATCH(A254,Programa!#REF!,0)-MOD(12+MATCH(A254,Programa!#REF!,0),12),1,,,"Programa"))),"")</f>
        <v/>
      </c>
      <c r="E254" s="81"/>
      <c r="F254" s="81"/>
      <c r="G254" s="82"/>
      <c r="H254" s="82"/>
      <c r="I254" s="82"/>
      <c r="J254" s="82"/>
      <c r="K254" s="82"/>
      <c r="L254" s="82"/>
      <c r="M254" s="82"/>
    </row>
    <row r="255" spans="1:13" x14ac:dyDescent="0.25">
      <c r="A255" s="84">
        <v>129</v>
      </c>
      <c r="B255" s="85" t="s">
        <v>309</v>
      </c>
      <c r="C255" s="125" t="str">
        <f>IF(ISNUMBER(A255),IF(ISERROR(MATCH(A255,Programa!#REF!,0)),"Nunca",(INDEX(Programa!$A:$A,12)-D255)/7&amp;" semanas"),"")</f>
        <v>Nunca</v>
      </c>
      <c r="D255" s="121" t="str">
        <f ca="1">IF(ISNUMBER(A255),IF(ISERROR(MATCH(A255,Programa!#REF!,0)),"",INDIRECT(ADDRESS(12+MATCH(A255,Programa!#REF!,0)-MOD(12+MATCH(A255,Programa!#REF!,0),12),1,,,"Programa"))),"")</f>
        <v/>
      </c>
      <c r="E255" s="81"/>
      <c r="F255" s="81"/>
      <c r="G255" s="82"/>
      <c r="H255" s="82"/>
      <c r="I255" s="82"/>
      <c r="J255" s="82"/>
      <c r="K255" s="82"/>
      <c r="L255" s="82"/>
      <c r="M255" s="82"/>
    </row>
    <row r="256" spans="1:13" x14ac:dyDescent="0.25">
      <c r="A256" s="84">
        <v>130</v>
      </c>
      <c r="B256" s="85" t="s">
        <v>310</v>
      </c>
      <c r="C256" s="125" t="str">
        <f>IF(ISNUMBER(A256),IF(ISERROR(MATCH(A256,Programa!#REF!,0)),"Nunca",(INDEX(Programa!$A:$A,12)-D256)/7&amp;" semanas"),"")</f>
        <v>Nunca</v>
      </c>
      <c r="D256" s="121" t="str">
        <f ca="1">IF(ISNUMBER(A256),IF(ISERROR(MATCH(A256,Programa!#REF!,0)),"",INDIRECT(ADDRESS(12+MATCH(A256,Programa!#REF!,0)-MOD(12+MATCH(A256,Programa!#REF!,0),12),1,,,"Programa"))),"")</f>
        <v/>
      </c>
      <c r="E256" s="81"/>
      <c r="F256" s="81"/>
      <c r="G256" s="82"/>
      <c r="H256" s="82"/>
      <c r="I256" s="82"/>
      <c r="J256" s="82"/>
      <c r="K256" s="82"/>
      <c r="L256" s="82"/>
      <c r="M256" s="82"/>
    </row>
    <row r="257" spans="1:13" x14ac:dyDescent="0.25">
      <c r="A257" s="84">
        <v>130</v>
      </c>
      <c r="B257" s="85" t="s">
        <v>311</v>
      </c>
      <c r="C257" s="125" t="str">
        <f>IF(ISNUMBER(A257),IF(ISERROR(MATCH(A257,Programa!#REF!,0)),"Nunca",(INDEX(Programa!$A:$A,12)-D257)/7&amp;" semanas"),"")</f>
        <v>Nunca</v>
      </c>
      <c r="D257" s="121" t="str">
        <f ca="1">IF(ISNUMBER(A257),IF(ISERROR(MATCH(A257,Programa!#REF!,0)),"",INDIRECT(ADDRESS(12+MATCH(A257,Programa!#REF!,0)-MOD(12+MATCH(A257,Programa!#REF!,0),12),1,,,"Programa"))),"")</f>
        <v/>
      </c>
      <c r="E257" s="81"/>
      <c r="F257" s="81"/>
      <c r="G257" s="82"/>
      <c r="H257" s="82"/>
      <c r="I257" s="82"/>
      <c r="J257" s="82"/>
      <c r="K257" s="82"/>
      <c r="L257" s="82"/>
      <c r="M257" s="82"/>
    </row>
    <row r="258" spans="1:13" x14ac:dyDescent="0.25">
      <c r="A258" s="84">
        <v>131</v>
      </c>
      <c r="B258" s="85" t="s">
        <v>312</v>
      </c>
      <c r="C258" s="125" t="str">
        <f>IF(ISNUMBER(A258),IF(ISERROR(MATCH(A258,Programa!#REF!,0)),"Nunca",(INDEX(Programa!$A:$A,12)-D258)/7&amp;" semanas"),"")</f>
        <v>Nunca</v>
      </c>
      <c r="D258" s="121" t="str">
        <f ca="1">IF(ISNUMBER(A258),IF(ISERROR(MATCH(A258,Programa!#REF!,0)),"",INDIRECT(ADDRESS(12+MATCH(A258,Programa!#REF!,0)-MOD(12+MATCH(A258,Programa!#REF!,0),12),1,,,"Programa"))),"")</f>
        <v/>
      </c>
      <c r="E258" s="81"/>
      <c r="F258" s="81"/>
      <c r="G258" s="82"/>
      <c r="H258" s="82"/>
      <c r="I258" s="82"/>
      <c r="J258" s="82"/>
      <c r="K258" s="82"/>
      <c r="L258" s="82"/>
      <c r="M258" s="82"/>
    </row>
    <row r="259" spans="1:13" x14ac:dyDescent="0.25">
      <c r="A259" s="84">
        <v>131</v>
      </c>
      <c r="B259" s="85" t="s">
        <v>313</v>
      </c>
      <c r="C259" s="125" t="str">
        <f>IF(ISNUMBER(A259),IF(ISERROR(MATCH(A259,Programa!#REF!,0)),"Nunca",(INDEX(Programa!$A:$A,12)-D259)/7&amp;" semanas"),"")</f>
        <v>Nunca</v>
      </c>
      <c r="D259" s="121" t="str">
        <f ca="1">IF(ISNUMBER(A259),IF(ISERROR(MATCH(A259,Programa!#REF!,0)),"",INDIRECT(ADDRESS(12+MATCH(A259,Programa!#REF!,0)-MOD(12+MATCH(A259,Programa!#REF!,0),12),1,,,"Programa"))),"")</f>
        <v/>
      </c>
      <c r="E259" s="81"/>
      <c r="F259" s="81"/>
      <c r="G259" s="82"/>
      <c r="H259" s="82"/>
      <c r="I259" s="82"/>
      <c r="J259" s="82"/>
      <c r="K259" s="82"/>
      <c r="L259" s="82"/>
      <c r="M259" s="82"/>
    </row>
    <row r="260" spans="1:13" x14ac:dyDescent="0.25">
      <c r="A260" s="84">
        <v>132</v>
      </c>
      <c r="B260" s="85" t="s">
        <v>314</v>
      </c>
      <c r="C260" s="125" t="str">
        <f>IF(ISNUMBER(A260),IF(ISERROR(MATCH(A260,Programa!#REF!,0)),"Nunca",(INDEX(Programa!$A:$A,12)-D260)/7&amp;" semanas"),"")</f>
        <v>Nunca</v>
      </c>
      <c r="D260" s="121" t="str">
        <f ca="1">IF(ISNUMBER(A260),IF(ISERROR(MATCH(A260,Programa!#REF!,0)),"",INDIRECT(ADDRESS(12+MATCH(A260,Programa!#REF!,0)-MOD(12+MATCH(A260,Programa!#REF!,0),12),1,,,"Programa"))),"")</f>
        <v/>
      </c>
      <c r="E260" s="81"/>
      <c r="F260" s="81"/>
      <c r="G260" s="82"/>
      <c r="H260" s="82"/>
      <c r="I260" s="82"/>
      <c r="J260" s="82"/>
      <c r="K260" s="82"/>
      <c r="L260" s="82"/>
      <c r="M260" s="82"/>
    </row>
    <row r="261" spans="1:13" x14ac:dyDescent="0.25">
      <c r="A261" s="84">
        <v>132</v>
      </c>
      <c r="B261" s="85" t="s">
        <v>315</v>
      </c>
      <c r="C261" s="125" t="str">
        <f>IF(ISNUMBER(A261),IF(ISERROR(MATCH(A261,Programa!#REF!,0)),"Nunca",(INDEX(Programa!$A:$A,12)-D261)/7&amp;" semanas"),"")</f>
        <v>Nunca</v>
      </c>
      <c r="D261" s="121" t="str">
        <f ca="1">IF(ISNUMBER(A261),IF(ISERROR(MATCH(A261,Programa!#REF!,0)),"",INDIRECT(ADDRESS(12+MATCH(A261,Programa!#REF!,0)-MOD(12+MATCH(A261,Programa!#REF!,0),12),1,,,"Programa"))),"")</f>
        <v/>
      </c>
      <c r="E261" s="81"/>
      <c r="F261" s="81"/>
      <c r="G261" s="82"/>
      <c r="H261" s="82"/>
      <c r="I261" s="82"/>
      <c r="J261" s="82"/>
      <c r="K261" s="82"/>
      <c r="L261" s="82"/>
      <c r="M261" s="82"/>
    </row>
    <row r="262" spans="1:13" x14ac:dyDescent="0.25">
      <c r="A262" s="84">
        <v>133</v>
      </c>
      <c r="B262" s="85" t="s">
        <v>316</v>
      </c>
      <c r="C262" s="125" t="str">
        <f>IF(ISNUMBER(A262),IF(ISERROR(MATCH(A262,Programa!#REF!,0)),"Nunca",(INDEX(Programa!$A:$A,12)-D262)/7&amp;" semanas"),"")</f>
        <v>Nunca</v>
      </c>
      <c r="D262" s="121" t="str">
        <f ca="1">IF(ISNUMBER(A262),IF(ISERROR(MATCH(A262,Programa!#REF!,0)),"",INDIRECT(ADDRESS(12+MATCH(A262,Programa!#REF!,0)-MOD(12+MATCH(A262,Programa!#REF!,0),12),1,,,"Programa"))),"")</f>
        <v/>
      </c>
      <c r="E262" s="81"/>
      <c r="F262" s="81"/>
      <c r="G262" s="82"/>
      <c r="H262" s="82"/>
      <c r="I262" s="82"/>
      <c r="J262" s="82"/>
      <c r="K262" s="82"/>
      <c r="L262" s="82"/>
      <c r="M262" s="82"/>
    </row>
    <row r="263" spans="1:13" x14ac:dyDescent="0.25">
      <c r="A263" s="84">
        <v>133</v>
      </c>
      <c r="B263" s="85" t="s">
        <v>317</v>
      </c>
      <c r="C263" s="125" t="str">
        <f>IF(ISNUMBER(A263),IF(ISERROR(MATCH(A263,Programa!#REF!,0)),"Nunca",(INDEX(Programa!$A:$A,12)-D263)/7&amp;" semanas"),"")</f>
        <v>Nunca</v>
      </c>
      <c r="D263" s="121" t="str">
        <f ca="1">IF(ISNUMBER(A263),IF(ISERROR(MATCH(A263,Programa!#REF!,0)),"",INDIRECT(ADDRESS(12+MATCH(A263,Programa!#REF!,0)-MOD(12+MATCH(A263,Programa!#REF!,0),12),1,,,"Programa"))),"")</f>
        <v/>
      </c>
      <c r="E263" s="81"/>
      <c r="F263" s="81"/>
      <c r="G263" s="82"/>
      <c r="H263" s="82"/>
      <c r="I263" s="82"/>
      <c r="J263" s="82"/>
      <c r="K263" s="82"/>
      <c r="L263" s="82"/>
      <c r="M263" s="82"/>
    </row>
    <row r="264" spans="1:13" x14ac:dyDescent="0.25">
      <c r="A264" s="84">
        <v>134</v>
      </c>
      <c r="B264" s="85" t="s">
        <v>318</v>
      </c>
      <c r="C264" s="125" t="str">
        <f>IF(ISNUMBER(A264),IF(ISERROR(MATCH(A264,Programa!#REF!,0)),"Nunca",(INDEX(Programa!$A:$A,12)-D264)/7&amp;" semanas"),"")</f>
        <v>Nunca</v>
      </c>
      <c r="D264" s="121" t="str">
        <f ca="1">IF(ISNUMBER(A264),IF(ISERROR(MATCH(A264,Programa!#REF!,0)),"",INDIRECT(ADDRESS(12+MATCH(A264,Programa!#REF!,0)-MOD(12+MATCH(A264,Programa!#REF!,0),12),1,,,"Programa"))),"")</f>
        <v/>
      </c>
      <c r="E264" s="81"/>
      <c r="F264" s="81"/>
      <c r="G264" s="82"/>
      <c r="H264" s="82"/>
      <c r="I264" s="82"/>
      <c r="J264" s="82"/>
      <c r="K264" s="82"/>
      <c r="L264" s="82"/>
      <c r="M264" s="82"/>
    </row>
    <row r="265" spans="1:13" x14ac:dyDescent="0.25">
      <c r="A265" s="84">
        <v>134</v>
      </c>
      <c r="B265" s="85" t="s">
        <v>319</v>
      </c>
      <c r="C265" s="125" t="str">
        <f>IF(ISNUMBER(A265),IF(ISERROR(MATCH(A265,Programa!#REF!,0)),"Nunca",(INDEX(Programa!$A:$A,12)-D265)/7&amp;" semanas"),"")</f>
        <v>Nunca</v>
      </c>
      <c r="D265" s="121" t="str">
        <f ca="1">IF(ISNUMBER(A265),IF(ISERROR(MATCH(A265,Programa!#REF!,0)),"",INDIRECT(ADDRESS(12+MATCH(A265,Programa!#REF!,0)-MOD(12+MATCH(A265,Programa!#REF!,0),12),1,,,"Programa"))),"")</f>
        <v/>
      </c>
      <c r="E265" s="81"/>
      <c r="F265" s="81"/>
      <c r="G265" s="82"/>
      <c r="H265" s="82"/>
      <c r="I265" s="82"/>
      <c r="J265" s="82"/>
      <c r="K265" s="82"/>
      <c r="L265" s="82"/>
      <c r="M265" s="82"/>
    </row>
    <row r="266" spans="1:13" x14ac:dyDescent="0.25">
      <c r="A266" s="84">
        <v>135</v>
      </c>
      <c r="B266" s="85" t="s">
        <v>320</v>
      </c>
      <c r="C266" s="125" t="str">
        <f>IF(ISNUMBER(A266),IF(ISERROR(MATCH(A266,Programa!#REF!,0)),"Nunca",(INDEX(Programa!$A:$A,12)-D266)/7&amp;" semanas"),"")</f>
        <v>Nunca</v>
      </c>
      <c r="D266" s="121" t="str">
        <f ca="1">IF(ISNUMBER(A266),IF(ISERROR(MATCH(A266,Programa!#REF!,0)),"",INDIRECT(ADDRESS(12+MATCH(A266,Programa!#REF!,0)-MOD(12+MATCH(A266,Programa!#REF!,0),12),1,,,"Programa"))),"")</f>
        <v/>
      </c>
      <c r="E266" s="81"/>
      <c r="F266" s="81"/>
      <c r="G266" s="82"/>
      <c r="H266" s="82"/>
      <c r="I266" s="82"/>
      <c r="J266" s="82"/>
      <c r="K266" s="82"/>
      <c r="L266" s="82"/>
      <c r="M266" s="82"/>
    </row>
    <row r="267" spans="1:13" x14ac:dyDescent="0.25">
      <c r="A267" s="84">
        <v>135</v>
      </c>
      <c r="B267" s="85" t="s">
        <v>321</v>
      </c>
      <c r="C267" s="125" t="str">
        <f>IF(ISNUMBER(A267),IF(ISERROR(MATCH(A267,Programa!#REF!,0)),"Nunca",(INDEX(Programa!$A:$A,12)-D267)/7&amp;" semanas"),"")</f>
        <v>Nunca</v>
      </c>
      <c r="D267" s="121" t="str">
        <f ca="1">IF(ISNUMBER(A267),IF(ISERROR(MATCH(A267,Programa!#REF!,0)),"",INDIRECT(ADDRESS(12+MATCH(A267,Programa!#REF!,0)-MOD(12+MATCH(A267,Programa!#REF!,0),12),1,,,"Programa"))),"")</f>
        <v/>
      </c>
      <c r="E267" s="81"/>
      <c r="F267" s="81"/>
      <c r="G267" s="82"/>
      <c r="H267" s="82"/>
      <c r="I267" s="82"/>
      <c r="J267" s="82"/>
      <c r="K267" s="82"/>
      <c r="L267" s="82"/>
      <c r="M267" s="82"/>
    </row>
    <row r="268" spans="1:13" x14ac:dyDescent="0.25">
      <c r="A268" s="84">
        <v>136</v>
      </c>
      <c r="B268" s="85" t="s">
        <v>322</v>
      </c>
      <c r="C268" s="125" t="str">
        <f>IF(ISNUMBER(A268),IF(ISERROR(MATCH(A268,Programa!#REF!,0)),"Nunca",(INDEX(Programa!$A:$A,12)-D268)/7&amp;" semanas"),"")</f>
        <v>Nunca</v>
      </c>
      <c r="D268" s="121" t="str">
        <f ca="1">IF(ISNUMBER(A268),IF(ISERROR(MATCH(A268,Programa!#REF!,0)),"",INDIRECT(ADDRESS(12+MATCH(A268,Programa!#REF!,0)-MOD(12+MATCH(A268,Programa!#REF!,0),12),1,,,"Programa"))),"")</f>
        <v/>
      </c>
      <c r="E268" s="81"/>
      <c r="F268" s="81"/>
      <c r="G268" s="82"/>
      <c r="H268" s="82"/>
      <c r="I268" s="82"/>
      <c r="J268" s="82"/>
      <c r="K268" s="82"/>
      <c r="L268" s="82"/>
      <c r="M268" s="82"/>
    </row>
    <row r="269" spans="1:13" x14ac:dyDescent="0.25">
      <c r="A269" s="84">
        <v>136</v>
      </c>
      <c r="B269" s="85" t="s">
        <v>323</v>
      </c>
      <c r="C269" s="125" t="str">
        <f>IF(ISNUMBER(A269),IF(ISERROR(MATCH(A269,Programa!#REF!,0)),"Nunca",(INDEX(Programa!$A:$A,12)-D269)/7&amp;" semanas"),"")</f>
        <v>Nunca</v>
      </c>
      <c r="D269" s="121" t="str">
        <f ca="1">IF(ISNUMBER(A269),IF(ISERROR(MATCH(A269,Programa!#REF!,0)),"",INDIRECT(ADDRESS(12+MATCH(A269,Programa!#REF!,0)-MOD(12+MATCH(A269,Programa!#REF!,0),12),1,,,"Programa"))),"")</f>
        <v/>
      </c>
      <c r="E269" s="81"/>
      <c r="F269" s="81"/>
      <c r="G269" s="82"/>
      <c r="H269" s="82"/>
      <c r="I269" s="82"/>
      <c r="J269" s="82"/>
      <c r="K269" s="82"/>
      <c r="L269" s="82"/>
      <c r="M269" s="82"/>
    </row>
    <row r="270" spans="1:13" x14ac:dyDescent="0.25">
      <c r="A270" s="84">
        <v>137</v>
      </c>
      <c r="B270" s="85" t="s">
        <v>324</v>
      </c>
      <c r="C270" s="125" t="str">
        <f>IF(ISNUMBER(A270),IF(ISERROR(MATCH(A270,Programa!#REF!,0)),"Nunca",(INDEX(Programa!$A:$A,12)-D270)/7&amp;" semanas"),"")</f>
        <v>Nunca</v>
      </c>
      <c r="D270" s="121" t="str">
        <f ca="1">IF(ISNUMBER(A270),IF(ISERROR(MATCH(A270,Programa!#REF!,0)),"",INDIRECT(ADDRESS(12+MATCH(A270,Programa!#REF!,0)-MOD(12+MATCH(A270,Programa!#REF!,0),12),1,,,"Programa"))),"")</f>
        <v/>
      </c>
      <c r="E270" s="81"/>
      <c r="F270" s="81"/>
      <c r="G270" s="82"/>
      <c r="H270" s="82"/>
      <c r="I270" s="82"/>
      <c r="J270" s="82"/>
      <c r="K270" s="82"/>
      <c r="L270" s="82"/>
      <c r="M270" s="82"/>
    </row>
    <row r="271" spans="1:13" x14ac:dyDescent="0.25">
      <c r="A271" s="84">
        <v>137</v>
      </c>
      <c r="B271" s="85" t="s">
        <v>325</v>
      </c>
      <c r="C271" s="125" t="str">
        <f>IF(ISNUMBER(A271),IF(ISERROR(MATCH(A271,Programa!#REF!,0)),"Nunca",(INDEX(Programa!$A:$A,12)-D271)/7&amp;" semanas"),"")</f>
        <v>Nunca</v>
      </c>
      <c r="D271" s="121" t="str">
        <f ca="1">IF(ISNUMBER(A271),IF(ISERROR(MATCH(A271,Programa!#REF!,0)),"",INDIRECT(ADDRESS(12+MATCH(A271,Programa!#REF!,0)-MOD(12+MATCH(A271,Programa!#REF!,0),12),1,,,"Programa"))),"")</f>
        <v/>
      </c>
      <c r="E271" s="81"/>
      <c r="F271" s="81"/>
      <c r="G271" s="82"/>
      <c r="H271" s="82"/>
      <c r="I271" s="82"/>
      <c r="J271" s="82"/>
      <c r="K271" s="82"/>
      <c r="L271" s="82"/>
      <c r="M271" s="82"/>
    </row>
    <row r="272" spans="1:13" x14ac:dyDescent="0.25">
      <c r="A272" s="84">
        <v>138</v>
      </c>
      <c r="B272" s="85" t="s">
        <v>326</v>
      </c>
      <c r="C272" s="125" t="str">
        <f>IF(ISNUMBER(A272),IF(ISERROR(MATCH(A272,Programa!#REF!,0)),"Nunca",(INDEX(Programa!$A:$A,12)-D272)/7&amp;" semanas"),"")</f>
        <v>Nunca</v>
      </c>
      <c r="D272" s="121" t="str">
        <f ca="1">IF(ISNUMBER(A272),IF(ISERROR(MATCH(A272,Programa!#REF!,0)),"",INDIRECT(ADDRESS(12+MATCH(A272,Programa!#REF!,0)-MOD(12+MATCH(A272,Programa!#REF!,0),12),1,,,"Programa"))),"")</f>
        <v/>
      </c>
      <c r="E272" s="81"/>
      <c r="F272" s="81"/>
      <c r="G272" s="82"/>
      <c r="H272" s="82"/>
      <c r="I272" s="82"/>
      <c r="J272" s="82"/>
      <c r="K272" s="82"/>
      <c r="L272" s="82"/>
      <c r="M272" s="82"/>
    </row>
    <row r="273" spans="1:13" x14ac:dyDescent="0.25">
      <c r="A273" s="84">
        <v>138</v>
      </c>
      <c r="B273" s="85" t="s">
        <v>327</v>
      </c>
      <c r="C273" s="125" t="str">
        <f>IF(ISNUMBER(A273),IF(ISERROR(MATCH(A273,Programa!#REF!,0)),"Nunca",(INDEX(Programa!$A:$A,12)-D273)/7&amp;" semanas"),"")</f>
        <v>Nunca</v>
      </c>
      <c r="D273" s="121" t="str">
        <f ca="1">IF(ISNUMBER(A273),IF(ISERROR(MATCH(A273,Programa!#REF!,0)),"",INDIRECT(ADDRESS(12+MATCH(A273,Programa!#REF!,0)-MOD(12+MATCH(A273,Programa!#REF!,0),12),1,,,"Programa"))),"")</f>
        <v/>
      </c>
      <c r="E273" s="81"/>
      <c r="F273" s="81"/>
      <c r="G273" s="82"/>
      <c r="H273" s="82"/>
      <c r="I273" s="82"/>
      <c r="J273" s="82"/>
      <c r="K273" s="82"/>
      <c r="L273" s="82"/>
      <c r="M273" s="82"/>
    </row>
    <row r="274" spans="1:13" x14ac:dyDescent="0.25">
      <c r="A274" s="84">
        <v>139</v>
      </c>
      <c r="B274" s="85" t="s">
        <v>328</v>
      </c>
      <c r="C274" s="125" t="str">
        <f>IF(ISNUMBER(A274),IF(ISERROR(MATCH(A274,Programa!#REF!,0)),"Nunca",(INDEX(Programa!$A:$A,12)-D274)/7&amp;" semanas"),"")</f>
        <v>Nunca</v>
      </c>
      <c r="D274" s="121" t="str">
        <f ca="1">IF(ISNUMBER(A274),IF(ISERROR(MATCH(A274,Programa!#REF!,0)),"",INDIRECT(ADDRESS(12+MATCH(A274,Programa!#REF!,0)-MOD(12+MATCH(A274,Programa!#REF!,0),12),1,,,"Programa"))),"")</f>
        <v/>
      </c>
      <c r="E274" s="81"/>
      <c r="F274" s="81"/>
      <c r="G274" s="82"/>
      <c r="H274" s="82"/>
      <c r="I274" s="82"/>
      <c r="J274" s="82"/>
      <c r="K274" s="82"/>
      <c r="L274" s="82"/>
      <c r="M274" s="82"/>
    </row>
    <row r="275" spans="1:13" x14ac:dyDescent="0.25">
      <c r="A275" s="84">
        <v>139</v>
      </c>
      <c r="B275" s="85" t="s">
        <v>329</v>
      </c>
      <c r="C275" s="125" t="str">
        <f>IF(ISNUMBER(A275),IF(ISERROR(MATCH(A275,Programa!#REF!,0)),"Nunca",(INDEX(Programa!$A:$A,12)-D275)/7&amp;" semanas"),"")</f>
        <v>Nunca</v>
      </c>
      <c r="D275" s="121" t="str">
        <f ca="1">IF(ISNUMBER(A275),IF(ISERROR(MATCH(A275,Programa!#REF!,0)),"",INDIRECT(ADDRESS(12+MATCH(A275,Programa!#REF!,0)-MOD(12+MATCH(A275,Programa!#REF!,0),12),1,,,"Programa"))),"")</f>
        <v/>
      </c>
      <c r="E275" s="81"/>
      <c r="F275" s="81"/>
      <c r="G275" s="82"/>
      <c r="H275" s="82"/>
      <c r="I275" s="82"/>
      <c r="J275" s="82"/>
      <c r="K275" s="82"/>
      <c r="L275" s="82"/>
      <c r="M275" s="82"/>
    </row>
    <row r="276" spans="1:13" x14ac:dyDescent="0.25">
      <c r="A276" s="84">
        <v>140</v>
      </c>
      <c r="B276" s="85" t="s">
        <v>330</v>
      </c>
      <c r="C276" s="125" t="str">
        <f>IF(ISNUMBER(A276),IF(ISERROR(MATCH(A276,Programa!#REF!,0)),"Nunca",(INDEX(Programa!$A:$A,12)-D276)/7&amp;" semanas"),"")</f>
        <v>Nunca</v>
      </c>
      <c r="D276" s="121" t="str">
        <f ca="1">IF(ISNUMBER(A276),IF(ISERROR(MATCH(A276,Programa!#REF!,0)),"",INDIRECT(ADDRESS(12+MATCH(A276,Programa!#REF!,0)-MOD(12+MATCH(A276,Programa!#REF!,0),12),1,,,"Programa"))),"")</f>
        <v/>
      </c>
      <c r="E276" s="81"/>
      <c r="F276" s="81"/>
      <c r="G276" s="82"/>
      <c r="H276" s="82"/>
      <c r="I276" s="82"/>
      <c r="J276" s="82"/>
      <c r="K276" s="82"/>
      <c r="L276" s="82"/>
      <c r="M276" s="82"/>
    </row>
    <row r="277" spans="1:13" x14ac:dyDescent="0.25">
      <c r="A277" s="84">
        <v>140</v>
      </c>
      <c r="B277" s="85" t="s">
        <v>331</v>
      </c>
      <c r="C277" s="125" t="str">
        <f>IF(ISNUMBER(A277),IF(ISERROR(MATCH(A277,Programa!#REF!,0)),"Nunca",(INDEX(Programa!$A:$A,12)-D277)/7&amp;" semanas"),"")</f>
        <v>Nunca</v>
      </c>
      <c r="D277" s="121" t="str">
        <f ca="1">IF(ISNUMBER(A277),IF(ISERROR(MATCH(A277,Programa!#REF!,0)),"",INDIRECT(ADDRESS(12+MATCH(A277,Programa!#REF!,0)-MOD(12+MATCH(A277,Programa!#REF!,0),12),1,,,"Programa"))),"")</f>
        <v/>
      </c>
      <c r="E277" s="81"/>
      <c r="F277" s="81"/>
      <c r="G277" s="82"/>
      <c r="H277" s="82"/>
      <c r="I277" s="82"/>
      <c r="J277" s="82"/>
      <c r="K277" s="82"/>
      <c r="L277" s="82"/>
      <c r="M277" s="82"/>
    </row>
    <row r="278" spans="1:13" x14ac:dyDescent="0.25">
      <c r="A278" s="84">
        <v>141</v>
      </c>
      <c r="B278" s="85" t="s">
        <v>332</v>
      </c>
      <c r="C278" s="125" t="str">
        <f>IF(ISNUMBER(A278),IF(ISERROR(MATCH(A278,Programa!#REF!,0)),"Nunca",(INDEX(Programa!$A:$A,12)-D278)/7&amp;" semanas"),"")</f>
        <v>Nunca</v>
      </c>
      <c r="D278" s="121" t="str">
        <f ca="1">IF(ISNUMBER(A278),IF(ISERROR(MATCH(A278,Programa!#REF!,0)),"",INDIRECT(ADDRESS(12+MATCH(A278,Programa!#REF!,0)-MOD(12+MATCH(A278,Programa!#REF!,0),12),1,,,"Programa"))),"")</f>
        <v/>
      </c>
      <c r="E278" s="81"/>
      <c r="F278" s="81"/>
      <c r="G278" s="82"/>
      <c r="H278" s="82"/>
      <c r="I278" s="82"/>
      <c r="J278" s="82"/>
      <c r="K278" s="82"/>
      <c r="L278" s="82"/>
      <c r="M278" s="82"/>
    </row>
    <row r="279" spans="1:13" x14ac:dyDescent="0.25">
      <c r="A279" s="84">
        <v>141</v>
      </c>
      <c r="B279" s="85" t="s">
        <v>333</v>
      </c>
      <c r="C279" s="125" t="str">
        <f>IF(ISNUMBER(A279),IF(ISERROR(MATCH(A279,Programa!#REF!,0)),"Nunca",(INDEX(Programa!$A:$A,12)-D279)/7&amp;" semanas"),"")</f>
        <v>Nunca</v>
      </c>
      <c r="D279" s="121" t="str">
        <f ca="1">IF(ISNUMBER(A279),IF(ISERROR(MATCH(A279,Programa!#REF!,0)),"",INDIRECT(ADDRESS(12+MATCH(A279,Programa!#REF!,0)-MOD(12+MATCH(A279,Programa!#REF!,0),12),1,,,"Programa"))),"")</f>
        <v/>
      </c>
      <c r="E279" s="81"/>
      <c r="F279" s="81"/>
      <c r="G279" s="82"/>
      <c r="H279" s="82"/>
      <c r="I279" s="82"/>
      <c r="J279" s="82"/>
      <c r="K279" s="82"/>
      <c r="L279" s="82"/>
      <c r="M279" s="82"/>
    </row>
    <row r="280" spans="1:13" x14ac:dyDescent="0.25">
      <c r="A280" s="84">
        <v>142</v>
      </c>
      <c r="B280" s="85" t="s">
        <v>334</v>
      </c>
      <c r="C280" s="125" t="str">
        <f>IF(ISNUMBER(A280),IF(ISERROR(MATCH(A280,Programa!#REF!,0)),"Nunca",(INDEX(Programa!$A:$A,12)-D280)/7&amp;" semanas"),"")</f>
        <v>Nunca</v>
      </c>
      <c r="D280" s="121" t="str">
        <f ca="1">IF(ISNUMBER(A280),IF(ISERROR(MATCH(A280,Programa!#REF!,0)),"",INDIRECT(ADDRESS(12+MATCH(A280,Programa!#REF!,0)-MOD(12+MATCH(A280,Programa!#REF!,0),12),1,,,"Programa"))),"")</f>
        <v/>
      </c>
      <c r="E280" s="81"/>
      <c r="F280" s="81"/>
      <c r="G280" s="82"/>
      <c r="H280" s="82"/>
      <c r="I280" s="82"/>
      <c r="J280" s="82"/>
      <c r="K280" s="82"/>
      <c r="L280" s="82"/>
      <c r="M280" s="82"/>
    </row>
    <row r="281" spans="1:13" x14ac:dyDescent="0.25">
      <c r="A281" s="84">
        <v>142</v>
      </c>
      <c r="B281" s="85" t="s">
        <v>335</v>
      </c>
      <c r="C281" s="125" t="str">
        <f>IF(ISNUMBER(A281),IF(ISERROR(MATCH(A281,Programa!#REF!,0)),"Nunca",(INDEX(Programa!$A:$A,12)-D281)/7&amp;" semanas"),"")</f>
        <v>Nunca</v>
      </c>
      <c r="D281" s="121" t="str">
        <f ca="1">IF(ISNUMBER(A281),IF(ISERROR(MATCH(A281,Programa!#REF!,0)),"",INDIRECT(ADDRESS(12+MATCH(A281,Programa!#REF!,0)-MOD(12+MATCH(A281,Programa!#REF!,0),12),1,,,"Programa"))),"")</f>
        <v/>
      </c>
      <c r="E281" s="81"/>
      <c r="F281" s="81"/>
      <c r="G281" s="82"/>
      <c r="H281" s="82"/>
      <c r="I281" s="82"/>
      <c r="J281" s="82"/>
      <c r="K281" s="82"/>
      <c r="L281" s="82"/>
      <c r="M281" s="82"/>
    </row>
    <row r="282" spans="1:13" x14ac:dyDescent="0.25">
      <c r="A282" s="84">
        <v>143</v>
      </c>
      <c r="B282" s="85" t="s">
        <v>336</v>
      </c>
      <c r="C282" s="125" t="str">
        <f>IF(ISNUMBER(A282),IF(ISERROR(MATCH(A282,Programa!#REF!,0)),"Nunca",(INDEX(Programa!$A:$A,12)-D282)/7&amp;" semanas"),"")</f>
        <v>Nunca</v>
      </c>
      <c r="D282" s="121" t="str">
        <f ca="1">IF(ISNUMBER(A282),IF(ISERROR(MATCH(A282,Programa!#REF!,0)),"",INDIRECT(ADDRESS(12+MATCH(A282,Programa!#REF!,0)-MOD(12+MATCH(A282,Programa!#REF!,0),12),1,,,"Programa"))),"")</f>
        <v/>
      </c>
      <c r="E282" s="81"/>
      <c r="F282" s="81"/>
      <c r="G282" s="82"/>
      <c r="H282" s="82"/>
      <c r="I282" s="82"/>
      <c r="J282" s="82"/>
      <c r="K282" s="82"/>
      <c r="L282" s="82"/>
      <c r="M282" s="82"/>
    </row>
    <row r="283" spans="1:13" x14ac:dyDescent="0.25">
      <c r="A283" s="84">
        <v>143</v>
      </c>
      <c r="B283" s="85" t="s">
        <v>337</v>
      </c>
      <c r="C283" s="125" t="str">
        <f>IF(ISNUMBER(A283),IF(ISERROR(MATCH(A283,Programa!#REF!,0)),"Nunca",(INDEX(Programa!$A:$A,12)-D283)/7&amp;" semanas"),"")</f>
        <v>Nunca</v>
      </c>
      <c r="D283" s="121" t="str">
        <f ca="1">IF(ISNUMBER(A283),IF(ISERROR(MATCH(A283,Programa!#REF!,0)),"",INDIRECT(ADDRESS(12+MATCH(A283,Programa!#REF!,0)-MOD(12+MATCH(A283,Programa!#REF!,0),12),1,,,"Programa"))),"")</f>
        <v/>
      </c>
      <c r="E283" s="81"/>
      <c r="F283" s="81"/>
      <c r="G283" s="82"/>
      <c r="H283" s="82"/>
      <c r="I283" s="82"/>
      <c r="J283" s="82"/>
      <c r="K283" s="82"/>
      <c r="L283" s="82"/>
      <c r="M283" s="82"/>
    </row>
    <row r="284" spans="1:13" x14ac:dyDescent="0.25">
      <c r="A284" s="84">
        <v>144</v>
      </c>
      <c r="B284" s="85" t="s">
        <v>338</v>
      </c>
      <c r="C284" s="125" t="str">
        <f>IF(ISNUMBER(A284),IF(ISERROR(MATCH(A284,Programa!#REF!,0)),"Nunca",(INDEX(Programa!$A:$A,12)-D284)/7&amp;" semanas"),"")</f>
        <v>Nunca</v>
      </c>
      <c r="D284" s="121" t="str">
        <f ca="1">IF(ISNUMBER(A284),IF(ISERROR(MATCH(A284,Programa!#REF!,0)),"",INDIRECT(ADDRESS(12+MATCH(A284,Programa!#REF!,0)-MOD(12+MATCH(A284,Programa!#REF!,0),12),1,,,"Programa"))),"")</f>
        <v/>
      </c>
      <c r="E284" s="81"/>
      <c r="F284" s="81"/>
      <c r="G284" s="82"/>
      <c r="H284" s="82"/>
      <c r="I284" s="82"/>
      <c r="J284" s="82"/>
      <c r="K284" s="82"/>
      <c r="L284" s="82"/>
      <c r="M284" s="82"/>
    </row>
    <row r="285" spans="1:13" x14ac:dyDescent="0.25">
      <c r="A285" s="84">
        <v>144</v>
      </c>
      <c r="B285" s="85" t="s">
        <v>294</v>
      </c>
      <c r="C285" s="125" t="str">
        <f>IF(ISNUMBER(A285),IF(ISERROR(MATCH(A285,Programa!#REF!,0)),"Nunca",(INDEX(Programa!$A:$A,12)-D285)/7&amp;" semanas"),"")</f>
        <v>Nunca</v>
      </c>
      <c r="D285" s="121" t="str">
        <f ca="1">IF(ISNUMBER(A285),IF(ISERROR(MATCH(A285,Programa!#REF!,0)),"",INDIRECT(ADDRESS(12+MATCH(A285,Programa!#REF!,0)-MOD(12+MATCH(A285,Programa!#REF!,0),12),1,,,"Programa"))),"")</f>
        <v/>
      </c>
      <c r="E285" s="81"/>
      <c r="F285" s="81"/>
      <c r="G285" s="82"/>
      <c r="H285" s="82"/>
      <c r="I285" s="82"/>
      <c r="J285" s="82"/>
      <c r="K285" s="82"/>
      <c r="L285" s="82"/>
      <c r="M285" s="82"/>
    </row>
    <row r="286" spans="1:13" x14ac:dyDescent="0.25">
      <c r="A286" s="84">
        <v>145</v>
      </c>
      <c r="B286" s="85" t="s">
        <v>339</v>
      </c>
      <c r="C286" s="125" t="str">
        <f>IF(ISNUMBER(A286),IF(ISERROR(MATCH(A286,Programa!#REF!,0)),"Nunca",(INDEX(Programa!$A:$A,12)-D286)/7&amp;" semanas"),"")</f>
        <v>Nunca</v>
      </c>
      <c r="D286" s="121" t="str">
        <f ca="1">IF(ISNUMBER(A286),IF(ISERROR(MATCH(A286,Programa!#REF!,0)),"",INDIRECT(ADDRESS(12+MATCH(A286,Programa!#REF!,0)-MOD(12+MATCH(A286,Programa!#REF!,0),12),1,,,"Programa"))),"")</f>
        <v/>
      </c>
      <c r="E286" s="81"/>
      <c r="F286" s="81"/>
      <c r="G286" s="82"/>
      <c r="H286" s="82"/>
      <c r="I286" s="82"/>
      <c r="J286" s="82"/>
      <c r="K286" s="82"/>
      <c r="L286" s="82"/>
      <c r="M286" s="82"/>
    </row>
    <row r="287" spans="1:13" x14ac:dyDescent="0.25">
      <c r="A287" s="84">
        <v>145</v>
      </c>
      <c r="B287" s="85" t="s">
        <v>340</v>
      </c>
      <c r="C287" s="125" t="str">
        <f>IF(ISNUMBER(A287),IF(ISERROR(MATCH(A287,Programa!#REF!,0)),"Nunca",(INDEX(Programa!$A:$A,12)-D287)/7&amp;" semanas"),"")</f>
        <v>Nunca</v>
      </c>
      <c r="D287" s="121" t="str">
        <f ca="1">IF(ISNUMBER(A287),IF(ISERROR(MATCH(A287,Programa!#REF!,0)),"",INDIRECT(ADDRESS(12+MATCH(A287,Programa!#REF!,0)-MOD(12+MATCH(A287,Programa!#REF!,0),12),1,,,"Programa"))),"")</f>
        <v/>
      </c>
      <c r="E287" s="81"/>
      <c r="F287" s="81"/>
      <c r="G287" s="82"/>
      <c r="H287" s="82"/>
      <c r="I287" s="82"/>
      <c r="J287" s="82"/>
      <c r="K287" s="82"/>
      <c r="L287" s="82"/>
      <c r="M287" s="82"/>
    </row>
    <row r="288" spans="1:13" x14ac:dyDescent="0.25">
      <c r="A288" s="84">
        <v>146</v>
      </c>
      <c r="B288" s="85" t="s">
        <v>341</v>
      </c>
      <c r="C288" s="125" t="str">
        <f>IF(ISNUMBER(A288),IF(ISERROR(MATCH(A288,Programa!#REF!,0)),"Nunca",(INDEX(Programa!$A:$A,12)-D288)/7&amp;" semanas"),"")</f>
        <v>Nunca</v>
      </c>
      <c r="D288" s="121" t="str">
        <f ca="1">IF(ISNUMBER(A288),IF(ISERROR(MATCH(A288,Programa!#REF!,0)),"",INDIRECT(ADDRESS(12+MATCH(A288,Programa!#REF!,0)-MOD(12+MATCH(A288,Programa!#REF!,0),12),1,,,"Programa"))),"")</f>
        <v/>
      </c>
      <c r="E288" s="81"/>
      <c r="F288" s="81"/>
      <c r="G288" s="82"/>
      <c r="H288" s="82"/>
      <c r="I288" s="82"/>
      <c r="J288" s="82"/>
      <c r="K288" s="82"/>
      <c r="L288" s="82"/>
      <c r="M288" s="82"/>
    </row>
    <row r="289" spans="1:13" x14ac:dyDescent="0.25">
      <c r="A289" s="84">
        <v>146</v>
      </c>
      <c r="B289" s="85" t="s">
        <v>342</v>
      </c>
      <c r="C289" s="125" t="str">
        <f>IF(ISNUMBER(A289),IF(ISERROR(MATCH(A289,Programa!#REF!,0)),"Nunca",(INDEX(Programa!$A:$A,12)-D289)/7&amp;" semanas"),"")</f>
        <v>Nunca</v>
      </c>
      <c r="D289" s="121" t="str">
        <f ca="1">IF(ISNUMBER(A289),IF(ISERROR(MATCH(A289,Programa!#REF!,0)),"",INDIRECT(ADDRESS(12+MATCH(A289,Programa!#REF!,0)-MOD(12+MATCH(A289,Programa!#REF!,0),12),1,,,"Programa"))),"")</f>
        <v/>
      </c>
      <c r="E289" s="81"/>
      <c r="F289" s="81"/>
      <c r="G289" s="82"/>
      <c r="H289" s="82"/>
      <c r="I289" s="82"/>
      <c r="J289" s="82"/>
      <c r="K289" s="82"/>
      <c r="L289" s="82"/>
      <c r="M289" s="82"/>
    </row>
    <row r="290" spans="1:13" x14ac:dyDescent="0.25">
      <c r="A290" s="84">
        <v>147</v>
      </c>
      <c r="B290" s="85" t="s">
        <v>343</v>
      </c>
      <c r="C290" s="125" t="str">
        <f>IF(ISNUMBER(A290),IF(ISERROR(MATCH(A290,Programa!#REF!,0)),"Nunca",(INDEX(Programa!$A:$A,12)-D290)/7&amp;" semanas"),"")</f>
        <v>Nunca</v>
      </c>
      <c r="D290" s="121" t="str">
        <f ca="1">IF(ISNUMBER(A290),IF(ISERROR(MATCH(A290,Programa!#REF!,0)),"",INDIRECT(ADDRESS(12+MATCH(A290,Programa!#REF!,0)-MOD(12+MATCH(A290,Programa!#REF!,0),12),1,,,"Programa"))),"")</f>
        <v/>
      </c>
      <c r="E290" s="81"/>
      <c r="F290" s="81"/>
      <c r="G290" s="82"/>
      <c r="H290" s="82"/>
      <c r="I290" s="82"/>
      <c r="J290" s="82"/>
      <c r="K290" s="82"/>
      <c r="L290" s="82"/>
      <c r="M290" s="82"/>
    </row>
    <row r="291" spans="1:13" x14ac:dyDescent="0.25">
      <c r="A291" s="84">
        <v>147</v>
      </c>
      <c r="B291" s="85" t="s">
        <v>344</v>
      </c>
      <c r="C291" s="125" t="str">
        <f>IF(ISNUMBER(A291),IF(ISERROR(MATCH(A291,Programa!#REF!,0)),"Nunca",(INDEX(Programa!$A:$A,12)-D291)/7&amp;" semanas"),"")</f>
        <v>Nunca</v>
      </c>
      <c r="D291" s="121" t="str">
        <f ca="1">IF(ISNUMBER(A291),IF(ISERROR(MATCH(A291,Programa!#REF!,0)),"",INDIRECT(ADDRESS(12+MATCH(A291,Programa!#REF!,0)-MOD(12+MATCH(A291,Programa!#REF!,0),12),1,,,"Programa"))),"")</f>
        <v/>
      </c>
      <c r="E291" s="81"/>
      <c r="F291" s="81"/>
      <c r="G291" s="82"/>
      <c r="H291" s="82"/>
      <c r="I291" s="82"/>
      <c r="J291" s="82"/>
      <c r="K291" s="82"/>
      <c r="L291" s="82"/>
      <c r="M291" s="82"/>
    </row>
    <row r="292" spans="1:13" x14ac:dyDescent="0.25">
      <c r="A292" s="84">
        <v>148</v>
      </c>
      <c r="B292" s="85" t="s">
        <v>345</v>
      </c>
      <c r="C292" s="125" t="str">
        <f>IF(ISNUMBER(A292),IF(ISERROR(MATCH(A292,Programa!#REF!,0)),"Nunca",(INDEX(Programa!$A:$A,12)-D292)/7&amp;" semanas"),"")</f>
        <v>Nunca</v>
      </c>
      <c r="D292" s="121" t="str">
        <f ca="1">IF(ISNUMBER(A292),IF(ISERROR(MATCH(A292,Programa!#REF!,0)),"",INDIRECT(ADDRESS(12+MATCH(A292,Programa!#REF!,0)-MOD(12+MATCH(A292,Programa!#REF!,0),12),1,,,"Programa"))),"")</f>
        <v/>
      </c>
      <c r="E292" s="81"/>
      <c r="F292" s="81"/>
      <c r="G292" s="82"/>
      <c r="H292" s="82"/>
      <c r="I292" s="82"/>
      <c r="J292" s="82"/>
      <c r="K292" s="82"/>
      <c r="L292" s="82"/>
      <c r="M292" s="82"/>
    </row>
    <row r="293" spans="1:13" x14ac:dyDescent="0.25">
      <c r="A293" s="84">
        <v>148</v>
      </c>
      <c r="B293" s="85" t="s">
        <v>346</v>
      </c>
      <c r="C293" s="125" t="str">
        <f>IF(ISNUMBER(A293),IF(ISERROR(MATCH(A293,Programa!#REF!,0)),"Nunca",(INDEX(Programa!$A:$A,12)-D293)/7&amp;" semanas"),"")</f>
        <v>Nunca</v>
      </c>
      <c r="D293" s="121" t="str">
        <f ca="1">IF(ISNUMBER(A293),IF(ISERROR(MATCH(A293,Programa!#REF!,0)),"",INDIRECT(ADDRESS(12+MATCH(A293,Programa!#REF!,0)-MOD(12+MATCH(A293,Programa!#REF!,0),12),1,,,"Programa"))),"")</f>
        <v/>
      </c>
      <c r="E293" s="81"/>
      <c r="F293" s="81"/>
      <c r="G293" s="82"/>
      <c r="H293" s="82"/>
      <c r="I293" s="82"/>
      <c r="J293" s="82"/>
      <c r="K293" s="82"/>
      <c r="L293" s="82"/>
      <c r="M293" s="82"/>
    </row>
    <row r="294" spans="1:13" x14ac:dyDescent="0.25">
      <c r="A294" s="84">
        <v>149</v>
      </c>
      <c r="B294" s="85" t="s">
        <v>347</v>
      </c>
      <c r="C294" s="125" t="str">
        <f>IF(ISNUMBER(A294),IF(ISERROR(MATCH(A294,Programa!#REF!,0)),"Nunca",(INDEX(Programa!$A:$A,12)-D294)/7&amp;" semanas"),"")</f>
        <v>Nunca</v>
      </c>
      <c r="D294" s="121" t="str">
        <f ca="1">IF(ISNUMBER(A294),IF(ISERROR(MATCH(A294,Programa!#REF!,0)),"",INDIRECT(ADDRESS(12+MATCH(A294,Programa!#REF!,0)-MOD(12+MATCH(A294,Programa!#REF!,0),12),1,,,"Programa"))),"")</f>
        <v/>
      </c>
      <c r="E294" s="81"/>
      <c r="F294" s="81"/>
      <c r="G294" s="82"/>
      <c r="H294" s="82"/>
      <c r="I294" s="82"/>
      <c r="J294" s="82"/>
      <c r="K294" s="82"/>
      <c r="L294" s="82"/>
      <c r="M294" s="82"/>
    </row>
    <row r="295" spans="1:13" x14ac:dyDescent="0.25">
      <c r="A295" s="84">
        <v>149</v>
      </c>
      <c r="B295" s="85" t="s">
        <v>348</v>
      </c>
      <c r="C295" s="125" t="str">
        <f>IF(ISNUMBER(A295),IF(ISERROR(MATCH(A295,Programa!#REF!,0)),"Nunca",(INDEX(Programa!$A:$A,12)-D295)/7&amp;" semanas"),"")</f>
        <v>Nunca</v>
      </c>
      <c r="D295" s="121" t="str">
        <f ca="1">IF(ISNUMBER(A295),IF(ISERROR(MATCH(A295,Programa!#REF!,0)),"",INDIRECT(ADDRESS(12+MATCH(A295,Programa!#REF!,0)-MOD(12+MATCH(A295,Programa!#REF!,0),12),1,,,"Programa"))),"")</f>
        <v/>
      </c>
      <c r="E295" s="81"/>
      <c r="F295" s="81"/>
      <c r="G295" s="82"/>
      <c r="H295" s="82"/>
      <c r="I295" s="82"/>
      <c r="J295" s="82"/>
      <c r="K295" s="82"/>
      <c r="L295" s="82"/>
      <c r="M295" s="82"/>
    </row>
    <row r="296" spans="1:13" x14ac:dyDescent="0.25">
      <c r="A296" s="84">
        <v>150</v>
      </c>
      <c r="B296" s="85" t="s">
        <v>349</v>
      </c>
      <c r="C296" s="125" t="str">
        <f>IF(ISNUMBER(A296),IF(ISERROR(MATCH(A296,Programa!#REF!,0)),"Nunca",(INDEX(Programa!$A:$A,12)-D296)/7&amp;" semanas"),"")</f>
        <v>Nunca</v>
      </c>
      <c r="D296" s="121" t="str">
        <f ca="1">IF(ISNUMBER(A296),IF(ISERROR(MATCH(A296,Programa!#REF!,0)),"",INDIRECT(ADDRESS(12+MATCH(A296,Programa!#REF!,0)-MOD(12+MATCH(A296,Programa!#REF!,0),12),1,,,"Programa"))),"")</f>
        <v/>
      </c>
      <c r="E296" s="81"/>
      <c r="F296" s="81"/>
      <c r="G296" s="82"/>
      <c r="H296" s="82"/>
      <c r="I296" s="82"/>
      <c r="J296" s="82"/>
      <c r="K296" s="82"/>
      <c r="L296" s="82"/>
      <c r="M296" s="82"/>
    </row>
    <row r="297" spans="1:13" x14ac:dyDescent="0.25">
      <c r="A297" s="84">
        <v>150</v>
      </c>
      <c r="B297" s="85" t="s">
        <v>350</v>
      </c>
      <c r="C297" s="125" t="str">
        <f>IF(ISNUMBER(A297),IF(ISERROR(MATCH(A297,Programa!#REF!,0)),"Nunca",(INDEX(Programa!$A:$A,12)-D297)/7&amp;" semanas"),"")</f>
        <v>Nunca</v>
      </c>
      <c r="D297" s="121" t="str">
        <f ca="1">IF(ISNUMBER(A297),IF(ISERROR(MATCH(A297,Programa!#REF!,0)),"",INDIRECT(ADDRESS(12+MATCH(A297,Programa!#REF!,0)-MOD(12+MATCH(A297,Programa!#REF!,0),12),1,,,"Programa"))),"")</f>
        <v/>
      </c>
      <c r="E297" s="81"/>
      <c r="F297" s="81"/>
      <c r="G297" s="82"/>
      <c r="H297" s="82"/>
      <c r="I297" s="82"/>
      <c r="J297" s="82"/>
      <c r="K297" s="82"/>
      <c r="L297" s="82"/>
      <c r="M297" s="82"/>
    </row>
    <row r="298" spans="1:13" x14ac:dyDescent="0.25">
      <c r="A298" s="84">
        <v>151</v>
      </c>
      <c r="B298" s="85" t="s">
        <v>351</v>
      </c>
      <c r="C298" s="125" t="str">
        <f>IF(ISNUMBER(A298),IF(ISERROR(MATCH(A298,Programa!#REF!,0)),"Nunca",(INDEX(Programa!$A:$A,12)-D298)/7&amp;" semanas"),"")</f>
        <v>Nunca</v>
      </c>
      <c r="D298" s="121" t="str">
        <f ca="1">IF(ISNUMBER(A298),IF(ISERROR(MATCH(A298,Programa!#REF!,0)),"",INDIRECT(ADDRESS(12+MATCH(A298,Programa!#REF!,0)-MOD(12+MATCH(A298,Programa!#REF!,0),12),1,,,"Programa"))),"")</f>
        <v/>
      </c>
      <c r="E298" s="81"/>
      <c r="F298" s="81"/>
      <c r="G298" s="82"/>
      <c r="H298" s="82"/>
      <c r="I298" s="82"/>
      <c r="J298" s="82"/>
      <c r="K298" s="82"/>
      <c r="L298" s="82"/>
      <c r="M298" s="82"/>
    </row>
    <row r="299" spans="1:13" x14ac:dyDescent="0.25">
      <c r="A299" s="84">
        <v>151</v>
      </c>
      <c r="B299" s="85" t="s">
        <v>352</v>
      </c>
      <c r="C299" s="125" t="str">
        <f>IF(ISNUMBER(A299),IF(ISERROR(MATCH(A299,Programa!#REF!,0)),"Nunca",(INDEX(Programa!$A:$A,12)-D299)/7&amp;" semanas"),"")</f>
        <v>Nunca</v>
      </c>
      <c r="D299" s="121" t="str">
        <f ca="1">IF(ISNUMBER(A299),IF(ISERROR(MATCH(A299,Programa!#REF!,0)),"",INDIRECT(ADDRESS(12+MATCH(A299,Programa!#REF!,0)-MOD(12+MATCH(A299,Programa!#REF!,0),12),1,,,"Programa"))),"")</f>
        <v/>
      </c>
      <c r="E299" s="81"/>
      <c r="F299" s="81"/>
      <c r="G299" s="82"/>
      <c r="H299" s="82"/>
      <c r="I299" s="82"/>
      <c r="J299" s="82"/>
      <c r="K299" s="82"/>
      <c r="L299" s="82"/>
      <c r="M299" s="82"/>
    </row>
    <row r="300" spans="1:13" x14ac:dyDescent="0.25">
      <c r="A300" s="84">
        <v>152</v>
      </c>
      <c r="B300" s="85" t="s">
        <v>353</v>
      </c>
      <c r="C300" s="125" t="str">
        <f>IF(ISNUMBER(A300),IF(ISERROR(MATCH(A300,Programa!#REF!,0)),"Nunca",(INDEX(Programa!$A:$A,12)-D300)/7&amp;" semanas"),"")</f>
        <v>Nunca</v>
      </c>
      <c r="D300" s="121" t="str">
        <f ca="1">IF(ISNUMBER(A300),IF(ISERROR(MATCH(A300,Programa!#REF!,0)),"",INDIRECT(ADDRESS(12+MATCH(A300,Programa!#REF!,0)-MOD(12+MATCH(A300,Programa!#REF!,0),12),1,,,"Programa"))),"")</f>
        <v/>
      </c>
      <c r="E300" s="81"/>
      <c r="F300" s="81"/>
      <c r="G300" s="82"/>
      <c r="H300" s="82"/>
      <c r="I300" s="82"/>
      <c r="J300" s="82"/>
      <c r="K300" s="82"/>
      <c r="L300" s="82"/>
      <c r="M300" s="82"/>
    </row>
    <row r="301" spans="1:13" x14ac:dyDescent="0.25">
      <c r="A301" s="84">
        <v>152</v>
      </c>
      <c r="B301" s="85" t="s">
        <v>354</v>
      </c>
      <c r="C301" s="125" t="str">
        <f>IF(ISNUMBER(A301),IF(ISERROR(MATCH(A301,Programa!#REF!,0)),"Nunca",(INDEX(Programa!$A:$A,12)-D301)/7&amp;" semanas"),"")</f>
        <v>Nunca</v>
      </c>
      <c r="D301" s="121" t="str">
        <f ca="1">IF(ISNUMBER(A301),IF(ISERROR(MATCH(A301,Programa!#REF!,0)),"",INDIRECT(ADDRESS(12+MATCH(A301,Programa!#REF!,0)-MOD(12+MATCH(A301,Programa!#REF!,0),12),1,,,"Programa"))),"")</f>
        <v/>
      </c>
      <c r="E301" s="81"/>
      <c r="F301" s="81"/>
      <c r="G301" s="82"/>
      <c r="H301" s="82"/>
      <c r="I301" s="82"/>
      <c r="J301" s="82"/>
      <c r="K301" s="82"/>
      <c r="L301" s="82"/>
      <c r="M301" s="82"/>
    </row>
    <row r="302" spans="1:13" x14ac:dyDescent="0.25">
      <c r="A302" s="84">
        <v>153</v>
      </c>
      <c r="B302" s="85" t="s">
        <v>355</v>
      </c>
      <c r="C302" s="125" t="str">
        <f>IF(ISNUMBER(A302),IF(ISERROR(MATCH(A302,Programa!#REF!,0)),"Nunca",(INDEX(Programa!$A:$A,12)-D302)/7&amp;" semanas"),"")</f>
        <v>Nunca</v>
      </c>
      <c r="D302" s="121" t="str">
        <f ca="1">IF(ISNUMBER(A302),IF(ISERROR(MATCH(A302,Programa!#REF!,0)),"",INDIRECT(ADDRESS(12+MATCH(A302,Programa!#REF!,0)-MOD(12+MATCH(A302,Programa!#REF!,0),12),1,,,"Programa"))),"")</f>
        <v/>
      </c>
      <c r="E302" s="81"/>
      <c r="F302" s="81"/>
      <c r="G302" s="82"/>
      <c r="H302" s="82"/>
      <c r="I302" s="82"/>
      <c r="J302" s="82"/>
      <c r="K302" s="82"/>
      <c r="L302" s="82"/>
      <c r="M302" s="82"/>
    </row>
    <row r="303" spans="1:13" x14ac:dyDescent="0.25">
      <c r="A303" s="84">
        <v>153</v>
      </c>
      <c r="B303" s="85" t="s">
        <v>356</v>
      </c>
      <c r="C303" s="125" t="str">
        <f>IF(ISNUMBER(A303),IF(ISERROR(MATCH(A303,Programa!#REF!,0)),"Nunca",(INDEX(Programa!$A:$A,12)-D303)/7&amp;" semanas"),"")</f>
        <v>Nunca</v>
      </c>
      <c r="D303" s="121" t="str">
        <f ca="1">IF(ISNUMBER(A303),IF(ISERROR(MATCH(A303,Programa!#REF!,0)),"",INDIRECT(ADDRESS(12+MATCH(A303,Programa!#REF!,0)-MOD(12+MATCH(A303,Programa!#REF!,0),12),1,,,"Programa"))),"")</f>
        <v/>
      </c>
      <c r="E303" s="81"/>
      <c r="F303" s="81"/>
      <c r="G303" s="82"/>
      <c r="H303" s="82"/>
      <c r="I303" s="82"/>
      <c r="J303" s="82"/>
      <c r="K303" s="82"/>
      <c r="L303" s="82"/>
      <c r="M303" s="82"/>
    </row>
    <row r="304" spans="1:13" x14ac:dyDescent="0.25">
      <c r="A304" s="84">
        <v>154</v>
      </c>
      <c r="B304" s="85" t="s">
        <v>357</v>
      </c>
      <c r="C304" s="125" t="str">
        <f>IF(ISNUMBER(A304),IF(ISERROR(MATCH(A304,Programa!#REF!,0)),"Nunca",(INDEX(Programa!$A:$A,12)-D304)/7&amp;" semanas"),"")</f>
        <v>Nunca</v>
      </c>
      <c r="D304" s="121" t="str">
        <f ca="1">IF(ISNUMBER(A304),IF(ISERROR(MATCH(A304,Programa!#REF!,0)),"",INDIRECT(ADDRESS(12+MATCH(A304,Programa!#REF!,0)-MOD(12+MATCH(A304,Programa!#REF!,0),12),1,,,"Programa"))),"")</f>
        <v/>
      </c>
      <c r="E304" s="81"/>
      <c r="F304" s="81"/>
      <c r="G304" s="82"/>
      <c r="H304" s="82"/>
      <c r="I304" s="82"/>
      <c r="J304" s="82"/>
      <c r="K304" s="82"/>
      <c r="L304" s="82"/>
      <c r="M304" s="82"/>
    </row>
    <row r="305" spans="1:20" x14ac:dyDescent="0.25">
      <c r="A305" s="84">
        <v>154</v>
      </c>
      <c r="B305" s="85" t="s">
        <v>358</v>
      </c>
      <c r="C305" s="125" t="str">
        <f>IF(ISNUMBER(A305),IF(ISERROR(MATCH(A305,Programa!#REF!,0)),"Nunca",(INDEX(Programa!$A:$A,12)-D305)/7&amp;" semanas"),"")</f>
        <v>Nunca</v>
      </c>
      <c r="D305" s="121" t="str">
        <f ca="1">IF(ISNUMBER(A305),IF(ISERROR(MATCH(A305,Programa!#REF!,0)),"",INDIRECT(ADDRESS(12+MATCH(A305,Programa!#REF!,0)-MOD(12+MATCH(A305,Programa!#REF!,0),12),1,,,"Programa"))),"")</f>
        <v/>
      </c>
      <c r="E305" s="81"/>
      <c r="F305" s="81"/>
      <c r="G305" s="82"/>
      <c r="H305" s="82"/>
      <c r="I305" s="82"/>
      <c r="J305" s="82"/>
      <c r="K305" s="82"/>
      <c r="L305" s="82"/>
      <c r="M305" s="82"/>
    </row>
    <row r="306" spans="1:20" x14ac:dyDescent="0.25">
      <c r="A306" s="84">
        <v>155</v>
      </c>
      <c r="B306" s="85" t="s">
        <v>359</v>
      </c>
      <c r="C306" s="125" t="str">
        <f>IF(ISNUMBER(A306),IF(ISERROR(MATCH(A306,Programa!#REF!,0)),"Nunca",(INDEX(Programa!$A:$A,12)-D306)/7&amp;" semanas"),"")</f>
        <v>Nunca</v>
      </c>
      <c r="D306" s="121" t="str">
        <f ca="1">IF(ISNUMBER(A306),IF(ISERROR(MATCH(A306,Programa!#REF!,0)),"",INDIRECT(ADDRESS(12+MATCH(A306,Programa!#REF!,0)-MOD(12+MATCH(A306,Programa!#REF!,0),12),1,,,"Programa"))),"")</f>
        <v/>
      </c>
      <c r="E306" s="81"/>
      <c r="F306" s="81"/>
      <c r="G306" s="82"/>
      <c r="H306" s="82"/>
      <c r="I306" s="82"/>
      <c r="J306" s="82"/>
      <c r="K306" s="82"/>
      <c r="L306" s="82"/>
      <c r="M306" s="82"/>
    </row>
    <row r="307" spans="1:20" x14ac:dyDescent="0.25">
      <c r="A307" s="84">
        <v>155</v>
      </c>
      <c r="B307" s="85" t="s">
        <v>360</v>
      </c>
      <c r="C307" s="125" t="str">
        <f>IF(ISNUMBER(A307),IF(ISERROR(MATCH(A307,Programa!#REF!,0)),"Nunca",(INDEX(Programa!$A:$A,12)-D307)/7&amp;" semanas"),"")</f>
        <v>Nunca</v>
      </c>
      <c r="D307" s="121" t="str">
        <f ca="1">IF(ISNUMBER(A307),IF(ISERROR(MATCH(A307,Programa!#REF!,0)),"",INDIRECT(ADDRESS(12+MATCH(A307,Programa!#REF!,0)-MOD(12+MATCH(A307,Programa!#REF!,0),12),1,,,"Programa"))),"")</f>
        <v/>
      </c>
      <c r="E307" s="81"/>
      <c r="F307" s="81"/>
      <c r="G307" s="82"/>
      <c r="H307" s="82"/>
      <c r="I307" s="82"/>
      <c r="J307" s="82"/>
      <c r="K307" s="82"/>
      <c r="L307" s="82"/>
      <c r="M307" s="82"/>
    </row>
    <row r="308" spans="1:20" x14ac:dyDescent="0.25">
      <c r="A308" s="84">
        <v>156</v>
      </c>
      <c r="B308" s="85" t="s">
        <v>361</v>
      </c>
      <c r="C308" s="125" t="str">
        <f>IF(ISNUMBER(A308),IF(ISERROR(MATCH(A308,Programa!#REF!,0)),"Nunca",(INDEX(Programa!$A:$A,12)-D308)/7&amp;" semanas"),"")</f>
        <v>Nunca</v>
      </c>
      <c r="D308" s="121" t="str">
        <f ca="1">IF(ISNUMBER(A308),IF(ISERROR(MATCH(A308,Programa!#REF!,0)),"",INDIRECT(ADDRESS(12+MATCH(A308,Programa!#REF!,0)-MOD(12+MATCH(A308,Programa!#REF!,0),12),1,,,"Programa"))),"")</f>
        <v/>
      </c>
      <c r="E308" s="81"/>
      <c r="F308" s="81"/>
      <c r="G308" s="82"/>
      <c r="H308" s="82"/>
      <c r="I308" s="82"/>
      <c r="J308" s="82"/>
      <c r="K308" s="82"/>
      <c r="L308" s="82"/>
      <c r="M308" s="82"/>
    </row>
    <row r="309" spans="1:20" x14ac:dyDescent="0.25">
      <c r="A309" s="84">
        <v>156</v>
      </c>
      <c r="B309" s="85" t="s">
        <v>362</v>
      </c>
      <c r="C309" s="125" t="str">
        <f>IF(ISNUMBER(A309),IF(ISERROR(MATCH(A309,Programa!#REF!,0)),"Nunca",(INDEX(Programa!$A:$A,12)-D309)/7&amp;" semanas"),"")</f>
        <v>Nunca</v>
      </c>
      <c r="D309" s="121" t="str">
        <f ca="1">IF(ISNUMBER(A309),IF(ISERROR(MATCH(A309,Programa!#REF!,0)),"",INDIRECT(ADDRESS(12+MATCH(A309,Programa!#REF!,0)-MOD(12+MATCH(A309,Programa!#REF!,0),12),1,,,"Programa"))),"")</f>
        <v/>
      </c>
      <c r="E309" s="81"/>
      <c r="F309" s="81"/>
      <c r="G309" s="82"/>
      <c r="H309" s="82"/>
      <c r="I309" s="82"/>
      <c r="J309" s="82"/>
      <c r="K309" s="82"/>
      <c r="L309" s="82"/>
      <c r="M309" s="82"/>
    </row>
    <row r="310" spans="1:20" x14ac:dyDescent="0.25">
      <c r="A310" s="84">
        <v>157</v>
      </c>
      <c r="B310" s="85" t="s">
        <v>363</v>
      </c>
      <c r="C310" s="125" t="str">
        <f>IF(ISNUMBER(A310),IF(ISERROR(MATCH(A310,Programa!#REF!,0)),"Nunca",(INDEX(Programa!$A:$A,12)-D310)/7&amp;" semanas"),"")</f>
        <v>Nunca</v>
      </c>
      <c r="D310" s="121" t="str">
        <f ca="1">IF(ISNUMBER(A310),IF(ISERROR(MATCH(A310,Programa!#REF!,0)),"",INDIRECT(ADDRESS(12+MATCH(A310,Programa!#REF!,0)-MOD(12+MATCH(A310,Programa!#REF!,0),12),1,,,"Programa"))),"")</f>
        <v/>
      </c>
      <c r="E310" s="81"/>
      <c r="F310" s="81"/>
      <c r="G310" s="82"/>
      <c r="H310" s="82"/>
      <c r="I310" s="82"/>
      <c r="J310" s="82"/>
      <c r="K310" s="82"/>
      <c r="L310" s="82"/>
      <c r="M310" s="82"/>
    </row>
    <row r="311" spans="1:20" x14ac:dyDescent="0.25">
      <c r="A311" s="84">
        <v>157</v>
      </c>
      <c r="B311" s="85" t="s">
        <v>364</v>
      </c>
      <c r="C311" s="125" t="str">
        <f>IF(ISNUMBER(A311),IF(ISERROR(MATCH(A311,Programa!#REF!,0)),"Nunca",(INDEX(Programa!$A:$A,12)-D311)/7&amp;" semanas"),"")</f>
        <v>Nunca</v>
      </c>
      <c r="D311" s="121" t="str">
        <f ca="1">IF(ISNUMBER(A311),IF(ISERROR(MATCH(A311,Programa!#REF!,0)),"",INDIRECT(ADDRESS(12+MATCH(A311,Programa!#REF!,0)-MOD(12+MATCH(A311,Programa!#REF!,0),12),1,,,"Programa"))),"")</f>
        <v/>
      </c>
      <c r="E311" s="81"/>
      <c r="F311" s="81"/>
      <c r="G311" s="82"/>
      <c r="H311" s="82"/>
      <c r="I311" s="82"/>
      <c r="J311" s="82"/>
      <c r="K311" s="82"/>
      <c r="L311" s="82"/>
      <c r="M311" s="82"/>
    </row>
    <row r="312" spans="1:20" x14ac:dyDescent="0.25">
      <c r="A312" s="84">
        <v>158</v>
      </c>
      <c r="B312" s="85" t="s">
        <v>365</v>
      </c>
      <c r="C312" s="125" t="str">
        <f>IF(ISNUMBER(A312),IF(ISERROR(MATCH(A312,Programa!#REF!,0)),"Nunca",(INDEX(Programa!$A:$A,12)-D312)/7&amp;" semanas"),"")</f>
        <v>Nunca</v>
      </c>
      <c r="D312" s="121" t="str">
        <f ca="1">IF(ISNUMBER(A312),IF(ISERROR(MATCH(A312,Programa!#REF!,0)),"",INDIRECT(ADDRESS(12+MATCH(A312,Programa!#REF!,0)-MOD(12+MATCH(A312,Programa!#REF!,0),12),1,,,"Programa"))),"")</f>
        <v/>
      </c>
      <c r="E312" s="81"/>
      <c r="F312" s="81"/>
      <c r="G312" s="82"/>
      <c r="H312" s="82"/>
      <c r="I312" s="82"/>
      <c r="J312" s="82"/>
      <c r="K312" s="82"/>
      <c r="L312" s="82"/>
      <c r="M312" s="82"/>
    </row>
    <row r="313" spans="1:20" x14ac:dyDescent="0.25">
      <c r="A313" s="84">
        <v>158</v>
      </c>
      <c r="B313" s="85" t="s">
        <v>366</v>
      </c>
      <c r="C313" s="125" t="str">
        <f>IF(ISNUMBER(A313),IF(ISERROR(MATCH(A313,Programa!#REF!,0)),"Nunca",(INDEX(Programa!$A:$A,12)-D313)/7&amp;" semanas"),"")</f>
        <v>Nunca</v>
      </c>
      <c r="D313" s="121" t="str">
        <f ca="1">IF(ISNUMBER(A313),IF(ISERROR(MATCH(A313,Programa!#REF!,0)),"",INDIRECT(ADDRESS(12+MATCH(A313,Programa!#REF!,0)-MOD(12+MATCH(A313,Programa!#REF!,0),12),1,,,"Programa"))),"")</f>
        <v/>
      </c>
      <c r="E313" s="81"/>
      <c r="F313" s="81"/>
      <c r="G313" s="82"/>
      <c r="H313" s="82"/>
      <c r="I313" s="82"/>
      <c r="J313" s="82"/>
      <c r="K313" s="82"/>
      <c r="L313" s="82"/>
      <c r="M313" s="82"/>
    </row>
    <row r="314" spans="1:20" x14ac:dyDescent="0.25">
      <c r="A314" s="84">
        <v>159</v>
      </c>
      <c r="B314" s="85" t="s">
        <v>367</v>
      </c>
      <c r="C314" s="125" t="str">
        <f>IF(ISNUMBER(A314),IF(ISERROR(MATCH(A314,Programa!#REF!,0)),"Nunca",(INDEX(Programa!$A:$A,12)-D314)/7&amp;" semanas"),"")</f>
        <v>Nunca</v>
      </c>
      <c r="D314" s="121" t="str">
        <f ca="1">IF(ISNUMBER(A314),IF(ISERROR(MATCH(A314,Programa!#REF!,0)),"",INDIRECT(ADDRESS(12+MATCH(A314,Programa!#REF!,0)-MOD(12+MATCH(A314,Programa!#REF!,0),12),1,,,"Programa"))),"")</f>
        <v/>
      </c>
      <c r="E314" s="81"/>
      <c r="F314" s="81"/>
      <c r="G314" s="82"/>
      <c r="H314" s="82"/>
      <c r="I314" s="82"/>
      <c r="J314" s="82"/>
      <c r="K314" s="82"/>
      <c r="L314" s="82"/>
      <c r="M314" s="82"/>
    </row>
    <row r="315" spans="1:20" x14ac:dyDescent="0.25">
      <c r="A315" s="84">
        <v>159</v>
      </c>
      <c r="B315" s="85" t="s">
        <v>368</v>
      </c>
      <c r="C315" s="125" t="str">
        <f>IF(ISNUMBER(A315),IF(ISERROR(MATCH(A315,Programa!#REF!,0)),"Nunca",(INDEX(Programa!$A:$A,12)-D315)/7&amp;" semanas"),"")</f>
        <v>Nunca</v>
      </c>
      <c r="D315" s="121" t="str">
        <f ca="1">IF(ISNUMBER(A315),IF(ISERROR(MATCH(A315,Programa!#REF!,0)),"",INDIRECT(ADDRESS(12+MATCH(A315,Programa!#REF!,0)-MOD(12+MATCH(A315,Programa!#REF!,0),12),1,,,"Programa"))),"")</f>
        <v/>
      </c>
      <c r="E315" s="81"/>
      <c r="F315" s="81"/>
      <c r="G315" s="82"/>
      <c r="H315" s="82"/>
      <c r="I315" s="82"/>
      <c r="J315" s="82"/>
      <c r="K315" s="82"/>
      <c r="L315" s="82"/>
      <c r="M315" s="82"/>
      <c r="N315" s="83"/>
      <c r="O315" s="83"/>
      <c r="P315" s="83"/>
      <c r="Q315" s="83"/>
      <c r="R315" s="83"/>
      <c r="S315" s="83"/>
      <c r="T315" s="83"/>
    </row>
    <row r="316" spans="1:20" x14ac:dyDescent="0.25">
      <c r="A316" s="84"/>
      <c r="B316" s="85"/>
      <c r="C316" s="125" t="str">
        <f>IF(ISNUMBER(A316),IF(ISERROR(MATCH(A316,Programa!#REF!,0)),"Nunca",(INDEX(Programa!$A:$A,12)-D316)/7&amp;" semanas"),"")</f>
        <v/>
      </c>
      <c r="D316" s="121" t="str">
        <f ca="1">IF(ISNUMBER(A316),IF(ISERROR(MATCH(A316,Programa!#REF!,0)),"",INDIRECT(ADDRESS(12+MATCH(A316,Programa!#REF!,0)-MOD(12+MATCH(A316,Programa!#REF!,0),12),1,,,"Programa"))),"")</f>
        <v/>
      </c>
      <c r="E316" s="81"/>
      <c r="F316" s="81"/>
      <c r="G316" s="82"/>
      <c r="H316" s="82"/>
      <c r="I316" s="82"/>
      <c r="J316" s="82"/>
      <c r="K316" s="82"/>
      <c r="L316" s="82"/>
      <c r="M316" s="82"/>
    </row>
    <row r="317" spans="1:20" x14ac:dyDescent="0.25">
      <c r="A317" s="84"/>
      <c r="B317" s="85"/>
      <c r="C317" s="125" t="str">
        <f>IF(ISNUMBER(A317),IF(ISERROR(MATCH(A317,Programa!#REF!,0)),"Nunca",(INDEX(Programa!$A:$A,12)-D317)/7&amp;" semanas"),"")</f>
        <v/>
      </c>
      <c r="D317" s="121" t="str">
        <f ca="1">IF(ISNUMBER(A317),IF(ISERROR(MATCH(A317,Programa!#REF!,0)),"",INDIRECT(ADDRESS(12+MATCH(A317,Programa!#REF!,0)-MOD(12+MATCH(A317,Programa!#REF!,0),12),1,,,"Programa"))),"")</f>
        <v/>
      </c>
      <c r="E317" s="81"/>
      <c r="F317" s="81"/>
      <c r="G317" s="82"/>
      <c r="H317" s="82"/>
      <c r="I317" s="82"/>
      <c r="J317" s="82"/>
      <c r="K317" s="82"/>
      <c r="L317" s="82"/>
      <c r="M317" s="82"/>
      <c r="N317" s="83"/>
      <c r="O317" s="83"/>
      <c r="P317" s="83"/>
      <c r="Q317" s="83"/>
      <c r="R317" s="83"/>
      <c r="S317" s="83"/>
      <c r="T317" s="83"/>
    </row>
    <row r="318" spans="1:20" x14ac:dyDescent="0.25">
      <c r="A318" s="84">
        <v>188</v>
      </c>
      <c r="B318" s="85" t="s">
        <v>369</v>
      </c>
      <c r="C318" s="125" t="str">
        <f>IF(ISNUMBER(A318),IF(ISERROR(MATCH(A318,Programa!#REF!,0)),"Nunca",(INDEX(Programa!$A:$A,12)-D318)/7&amp;" semanas"),"")</f>
        <v>Nunca</v>
      </c>
      <c r="D318" s="121" t="str">
        <f ca="1">IF(ISNUMBER(A318),IF(ISERROR(MATCH(A318,Programa!#REF!,0)),"",INDIRECT(ADDRESS(12+MATCH(A318,Programa!#REF!,0)-MOD(12+MATCH(A318,Programa!#REF!,0),12),1,,,"Programa"))),"")</f>
        <v/>
      </c>
      <c r="E318" s="81"/>
      <c r="F318" s="81"/>
      <c r="G318" s="82"/>
      <c r="H318" s="82"/>
      <c r="I318" s="82"/>
      <c r="J318" s="82"/>
      <c r="K318" s="82"/>
      <c r="L318" s="82"/>
      <c r="M318" s="82"/>
    </row>
    <row r="319" spans="1:20" x14ac:dyDescent="0.25">
      <c r="A319" s="84">
        <v>188</v>
      </c>
      <c r="B319" s="85" t="s">
        <v>370</v>
      </c>
      <c r="C319" s="125" t="str">
        <f>IF(ISNUMBER(A319),IF(ISERROR(MATCH(A319,Programa!#REF!,0)),"Nunca",(INDEX(Programa!$A:$A,12)-D319)/7&amp;" semanas"),"")</f>
        <v>Nunca</v>
      </c>
      <c r="D319" s="121" t="str">
        <f ca="1">IF(ISNUMBER(A319),IF(ISERROR(MATCH(A319,Programa!#REF!,0)),"",INDIRECT(ADDRESS(12+MATCH(A319,Programa!#REF!,0)-MOD(12+MATCH(A319,Programa!#REF!,0),12),1,,,"Programa"))),"")</f>
        <v/>
      </c>
      <c r="E319" s="81"/>
      <c r="F319" s="81"/>
      <c r="G319" s="82"/>
      <c r="H319" s="82"/>
      <c r="I319" s="82"/>
      <c r="J319" s="82"/>
      <c r="K319" s="82"/>
      <c r="L319" s="82"/>
      <c r="M319" s="82"/>
    </row>
    <row r="320" spans="1:20" x14ac:dyDescent="0.25">
      <c r="A320" s="84">
        <v>189</v>
      </c>
      <c r="B320" s="85" t="s">
        <v>371</v>
      </c>
      <c r="C320" s="125" t="str">
        <f>IF(ISNUMBER(A320),IF(ISERROR(MATCH(A320,Programa!#REF!,0)),"Nunca",(INDEX(Programa!$A:$A,12)-D320)/7&amp;" semanas"),"")</f>
        <v>Nunca</v>
      </c>
      <c r="D320" s="121" t="str">
        <f ca="1">IF(ISNUMBER(A320),IF(ISERROR(MATCH(A320,Programa!#REF!,0)),"",INDIRECT(ADDRESS(12+MATCH(A320,Programa!#REF!,0)-MOD(12+MATCH(A320,Programa!#REF!,0),12),1,,,"Programa"))),"")</f>
        <v/>
      </c>
      <c r="E320" s="81"/>
      <c r="F320" s="81"/>
      <c r="G320" s="82"/>
      <c r="H320" s="82"/>
      <c r="I320" s="82"/>
      <c r="J320" s="82"/>
      <c r="K320" s="82"/>
      <c r="L320" s="82"/>
      <c r="M320" s="82"/>
    </row>
    <row r="321" spans="1:13" x14ac:dyDescent="0.25">
      <c r="A321" s="84">
        <v>189</v>
      </c>
      <c r="B321" s="85" t="s">
        <v>372</v>
      </c>
      <c r="C321" s="125" t="str">
        <f>IF(ISNUMBER(A321),IF(ISERROR(MATCH(A321,Programa!#REF!,0)),"Nunca",(INDEX(Programa!$A:$A,12)-D321)/7&amp;" semanas"),"")</f>
        <v>Nunca</v>
      </c>
      <c r="D321" s="121" t="str">
        <f ca="1">IF(ISNUMBER(A321),IF(ISERROR(MATCH(A321,Programa!#REF!,0)),"",INDIRECT(ADDRESS(12+MATCH(A321,Programa!#REF!,0)-MOD(12+MATCH(A321,Programa!#REF!,0),12),1,,,"Programa"))),"")</f>
        <v/>
      </c>
      <c r="E321" s="81"/>
      <c r="F321" s="81"/>
      <c r="G321" s="82"/>
      <c r="H321" s="82"/>
      <c r="I321" s="82"/>
      <c r="J321" s="82"/>
      <c r="K321" s="82"/>
      <c r="L321" s="82"/>
      <c r="M321" s="82"/>
    </row>
    <row r="322" spans="1:13" x14ac:dyDescent="0.25">
      <c r="A322" s="84">
        <v>190</v>
      </c>
      <c r="B322" s="85" t="s">
        <v>373</v>
      </c>
      <c r="C322" s="125" t="str">
        <f>IF(ISNUMBER(A322),IF(ISERROR(MATCH(A322,Programa!#REF!,0)),"Nunca",(INDEX(Programa!$A:$A,12)-D322)/7&amp;" semanas"),"")</f>
        <v>Nunca</v>
      </c>
      <c r="D322" s="121" t="str">
        <f ca="1">IF(ISNUMBER(A322),IF(ISERROR(MATCH(A322,Programa!#REF!,0)),"",INDIRECT(ADDRESS(12+MATCH(A322,Programa!#REF!,0)-MOD(12+MATCH(A322,Programa!#REF!,0),12),1,,,"Programa"))),"")</f>
        <v/>
      </c>
      <c r="E322" s="81"/>
      <c r="F322" s="81"/>
      <c r="G322" s="82"/>
      <c r="H322" s="82"/>
      <c r="I322" s="82"/>
      <c r="J322" s="82"/>
      <c r="K322" s="82"/>
      <c r="L322" s="82"/>
      <c r="M322" s="82"/>
    </row>
    <row r="323" spans="1:13" x14ac:dyDescent="0.25">
      <c r="A323" s="84">
        <v>190</v>
      </c>
      <c r="B323" s="85" t="s">
        <v>374</v>
      </c>
      <c r="C323" s="125" t="str">
        <f>IF(ISNUMBER(A323),IF(ISERROR(MATCH(A323,Programa!#REF!,0)),"Nunca",(INDEX(Programa!$A:$A,12)-D323)/7&amp;" semanas"),"")</f>
        <v>Nunca</v>
      </c>
      <c r="D323" s="121" t="str">
        <f ca="1">IF(ISNUMBER(A323),IF(ISERROR(MATCH(A323,Programa!#REF!,0)),"",INDIRECT(ADDRESS(12+MATCH(A323,Programa!#REF!,0)-MOD(12+MATCH(A323,Programa!#REF!,0),12),1,,,"Programa"))),"")</f>
        <v/>
      </c>
      <c r="E323" s="81"/>
      <c r="F323" s="81"/>
      <c r="G323" s="82"/>
      <c r="H323" s="82"/>
      <c r="I323" s="82"/>
      <c r="J323" s="82"/>
      <c r="K323" s="82"/>
      <c r="L323" s="82"/>
      <c r="M323" s="82"/>
    </row>
    <row r="324" spans="1:13" x14ac:dyDescent="0.25">
      <c r="A324" s="84">
        <v>191</v>
      </c>
      <c r="B324" s="85" t="s">
        <v>375</v>
      </c>
      <c r="C324" s="125" t="str">
        <f>IF(ISNUMBER(A324),IF(ISERROR(MATCH(A324,Programa!#REF!,0)),"Nunca",(INDEX(Programa!$A:$A,12)-D324)/7&amp;" semanas"),"")</f>
        <v>Nunca</v>
      </c>
      <c r="D324" s="121" t="str">
        <f ca="1">IF(ISNUMBER(A324),IF(ISERROR(MATCH(A324,Programa!#REF!,0)),"",INDIRECT(ADDRESS(12+MATCH(A324,Programa!#REF!,0)-MOD(12+MATCH(A324,Programa!#REF!,0),12),1,,,"Programa"))),"")</f>
        <v/>
      </c>
      <c r="E324" s="81"/>
      <c r="F324" s="81"/>
      <c r="G324" s="82"/>
      <c r="H324" s="82"/>
      <c r="I324" s="82"/>
      <c r="J324" s="82"/>
      <c r="K324" s="82"/>
      <c r="L324" s="82"/>
      <c r="M324" s="82"/>
    </row>
    <row r="325" spans="1:13" x14ac:dyDescent="0.25">
      <c r="A325" s="84">
        <v>191</v>
      </c>
      <c r="B325" s="85" t="s">
        <v>376</v>
      </c>
      <c r="C325" s="125" t="str">
        <f>IF(ISNUMBER(A325),IF(ISERROR(MATCH(A325,Programa!#REF!,0)),"Nunca",(INDEX(Programa!$A:$A,12)-D325)/7&amp;" semanas"),"")</f>
        <v>Nunca</v>
      </c>
      <c r="D325" s="121" t="str">
        <f ca="1">IF(ISNUMBER(A325),IF(ISERROR(MATCH(A325,Programa!#REF!,0)),"",INDIRECT(ADDRESS(12+MATCH(A325,Programa!#REF!,0)-MOD(12+MATCH(A325,Programa!#REF!,0),12),1,,,"Programa"))),"")</f>
        <v/>
      </c>
      <c r="E325" s="81"/>
      <c r="F325" s="81"/>
      <c r="G325" s="82"/>
      <c r="H325" s="82"/>
      <c r="I325" s="82"/>
      <c r="J325" s="82"/>
      <c r="K325" s="82"/>
      <c r="L325" s="82"/>
      <c r="M325" s="82"/>
    </row>
    <row r="326" spans="1:13" x14ac:dyDescent="0.25">
      <c r="A326" s="84">
        <v>192</v>
      </c>
      <c r="B326" s="85" t="s">
        <v>377</v>
      </c>
      <c r="C326" s="125" t="str">
        <f>IF(ISNUMBER(A326),IF(ISERROR(MATCH(A326,Programa!#REF!,0)),"Nunca",(INDEX(Programa!$A:$A,12)-D326)/7&amp;" semanas"),"")</f>
        <v>Nunca</v>
      </c>
      <c r="D326" s="121" t="str">
        <f ca="1">IF(ISNUMBER(A326),IF(ISERROR(MATCH(A326,Programa!#REF!,0)),"",INDIRECT(ADDRESS(12+MATCH(A326,Programa!#REF!,0)-MOD(12+MATCH(A326,Programa!#REF!,0),12),1,,,"Programa"))),"")</f>
        <v/>
      </c>
      <c r="E326" s="81"/>
      <c r="F326" s="81"/>
      <c r="G326" s="82"/>
      <c r="H326" s="82"/>
      <c r="I326" s="82"/>
      <c r="J326" s="82"/>
      <c r="K326" s="82"/>
      <c r="L326" s="82"/>
      <c r="M326" s="82"/>
    </row>
    <row r="327" spans="1:13" x14ac:dyDescent="0.25">
      <c r="A327" s="84">
        <v>192</v>
      </c>
      <c r="B327" s="85" t="s">
        <v>378</v>
      </c>
      <c r="C327" s="125" t="str">
        <f>IF(ISNUMBER(A327),IF(ISERROR(MATCH(A327,Programa!#REF!,0)),"Nunca",(INDEX(Programa!$A:$A,12)-D327)/7&amp;" semanas"),"")</f>
        <v>Nunca</v>
      </c>
      <c r="D327" s="121" t="str">
        <f ca="1">IF(ISNUMBER(A327),IF(ISERROR(MATCH(A327,Programa!#REF!,0)),"",INDIRECT(ADDRESS(12+MATCH(A327,Programa!#REF!,0)-MOD(12+MATCH(A327,Programa!#REF!,0),12),1,,,"Programa"))),"")</f>
        <v/>
      </c>
      <c r="E327" s="81"/>
      <c r="F327" s="81"/>
      <c r="G327" s="82"/>
      <c r="H327" s="82"/>
      <c r="I327" s="82"/>
      <c r="J327" s="82"/>
      <c r="K327" s="82"/>
      <c r="L327" s="82"/>
      <c r="M327" s="82"/>
    </row>
    <row r="328" spans="1:13" x14ac:dyDescent="0.25">
      <c r="A328" s="84">
        <v>193</v>
      </c>
      <c r="B328" s="85" t="s">
        <v>379</v>
      </c>
      <c r="C328" s="125" t="str">
        <f>IF(ISNUMBER(A328),IF(ISERROR(MATCH(A328,Programa!#REF!,0)),"Nunca",(INDEX(Programa!$A:$A,12)-D328)/7&amp;" semanas"),"")</f>
        <v>Nunca</v>
      </c>
      <c r="D328" s="121" t="str">
        <f ca="1">IF(ISNUMBER(A328),IF(ISERROR(MATCH(A328,Programa!#REF!,0)),"",INDIRECT(ADDRESS(12+MATCH(A328,Programa!#REF!,0)-MOD(12+MATCH(A328,Programa!#REF!,0),12),1,,,"Programa"))),"")</f>
        <v/>
      </c>
      <c r="E328" s="81"/>
      <c r="F328" s="81"/>
      <c r="G328" s="82"/>
      <c r="H328" s="82"/>
      <c r="I328" s="82"/>
      <c r="J328" s="82"/>
      <c r="K328" s="82"/>
      <c r="L328" s="82"/>
      <c r="M328" s="82"/>
    </row>
    <row r="329" spans="1:13" x14ac:dyDescent="0.25">
      <c r="A329" s="84">
        <v>193</v>
      </c>
      <c r="B329" s="85" t="s">
        <v>380</v>
      </c>
      <c r="C329" s="125" t="str">
        <f>IF(ISNUMBER(A329),IF(ISERROR(MATCH(A329,Programa!#REF!,0)),"Nunca",(INDEX(Programa!$A:$A,12)-D329)/7&amp;" semanas"),"")</f>
        <v>Nunca</v>
      </c>
      <c r="D329" s="121" t="str">
        <f ca="1">IF(ISNUMBER(A329),IF(ISERROR(MATCH(A329,Programa!#REF!,0)),"",INDIRECT(ADDRESS(12+MATCH(A329,Programa!#REF!,0)-MOD(12+MATCH(A329,Programa!#REF!,0),12),1,,,"Programa"))),"")</f>
        <v/>
      </c>
      <c r="E329" s="81"/>
      <c r="F329" s="81"/>
      <c r="G329" s="82"/>
      <c r="H329" s="82"/>
      <c r="I329" s="82"/>
      <c r="J329" s="82"/>
      <c r="K329" s="82"/>
      <c r="L329" s="82"/>
      <c r="M329" s="82"/>
    </row>
    <row r="330" spans="1:13" x14ac:dyDescent="0.25">
      <c r="A330" s="84">
        <v>194</v>
      </c>
      <c r="B330" s="85" t="s">
        <v>381</v>
      </c>
      <c r="C330" s="125" t="str">
        <f>IF(ISNUMBER(A330),IF(ISERROR(MATCH(A330,Programa!#REF!,0)),"Nunca",(INDEX(Programa!$A:$A,12)-D330)/7&amp;" semanas"),"")</f>
        <v>Nunca</v>
      </c>
      <c r="D330" s="121" t="str">
        <f ca="1">IF(ISNUMBER(A330),IF(ISERROR(MATCH(A330,Programa!#REF!,0)),"",INDIRECT(ADDRESS(12+MATCH(A330,Programa!#REF!,0)-MOD(12+MATCH(A330,Programa!#REF!,0),12),1,,,"Programa"))),"")</f>
        <v/>
      </c>
      <c r="E330" s="81"/>
      <c r="F330" s="81"/>
      <c r="G330" s="82"/>
      <c r="H330" s="82"/>
      <c r="I330" s="82"/>
      <c r="J330" s="82"/>
      <c r="K330" s="82"/>
      <c r="L330" s="82"/>
      <c r="M330" s="82"/>
    </row>
    <row r="331" spans="1:13" x14ac:dyDescent="0.25">
      <c r="A331" s="84">
        <v>194</v>
      </c>
      <c r="B331" s="85" t="s">
        <v>382</v>
      </c>
      <c r="C331" s="125" t="str">
        <f>IF(ISNUMBER(A331),IF(ISERROR(MATCH(A331,Programa!#REF!,0)),"Nunca",(INDEX(Programa!$A:$A,12)-D331)/7&amp;" semanas"),"")</f>
        <v>Nunca</v>
      </c>
      <c r="D331" s="121" t="str">
        <f ca="1">IF(ISNUMBER(A331),IF(ISERROR(MATCH(A331,Programa!#REF!,0)),"",INDIRECT(ADDRESS(12+MATCH(A331,Programa!#REF!,0)-MOD(12+MATCH(A331,Programa!#REF!,0),12),1,,,"Programa"))),"")</f>
        <v/>
      </c>
      <c r="E331" s="81"/>
      <c r="F331" s="81"/>
      <c r="G331" s="82"/>
      <c r="H331" s="82"/>
      <c r="I331" s="82"/>
      <c r="J331" s="82"/>
      <c r="K331" s="82"/>
      <c r="L331" s="82"/>
      <c r="M331" s="82"/>
    </row>
    <row r="332" spans="1:13" x14ac:dyDescent="0.25">
      <c r="A332" s="84">
        <v>195</v>
      </c>
      <c r="B332" s="85" t="s">
        <v>383</v>
      </c>
      <c r="C332" s="125" t="str">
        <f>IF(ISNUMBER(A332),IF(ISERROR(MATCH(A332,Programa!#REF!,0)),"Nunca",(INDEX(Programa!$A:$A,12)-D332)/7&amp;" semanas"),"")</f>
        <v>Nunca</v>
      </c>
      <c r="D332" s="121" t="str">
        <f ca="1">IF(ISNUMBER(A332),IF(ISERROR(MATCH(A332,Programa!#REF!,0)),"",INDIRECT(ADDRESS(12+MATCH(A332,Programa!#REF!,0)-MOD(12+MATCH(A332,Programa!#REF!,0),12),1,,,"Programa"))),"")</f>
        <v/>
      </c>
      <c r="E332" s="81"/>
      <c r="F332" s="81"/>
      <c r="G332" s="82"/>
      <c r="H332" s="82"/>
      <c r="I332" s="82"/>
      <c r="J332" s="82"/>
      <c r="K332" s="82"/>
      <c r="L332" s="82"/>
      <c r="M332" s="82"/>
    </row>
    <row r="333" spans="1:13" x14ac:dyDescent="0.25">
      <c r="A333" s="84">
        <v>195</v>
      </c>
      <c r="B333" s="85" t="s">
        <v>384</v>
      </c>
      <c r="C333" s="125" t="str">
        <f>IF(ISNUMBER(A333),IF(ISERROR(MATCH(A333,Programa!#REF!,0)),"Nunca",(INDEX(Programa!$A:$A,12)-D333)/7&amp;" semanas"),"")</f>
        <v>Nunca</v>
      </c>
      <c r="D333" s="121" t="str">
        <f ca="1">IF(ISNUMBER(A333),IF(ISERROR(MATCH(A333,Programa!#REF!,0)),"",INDIRECT(ADDRESS(12+MATCH(A333,Programa!#REF!,0)-MOD(12+MATCH(A333,Programa!#REF!,0),12),1,,,"Programa"))),"")</f>
        <v/>
      </c>
      <c r="E333" s="81"/>
      <c r="F333" s="81"/>
      <c r="G333" s="82"/>
      <c r="H333" s="82"/>
      <c r="I333" s="82"/>
      <c r="J333" s="82"/>
      <c r="K333" s="82"/>
      <c r="L333" s="82"/>
      <c r="M333" s="82"/>
    </row>
    <row r="334" spans="1:13" x14ac:dyDescent="0.25">
      <c r="A334" s="84">
        <v>196</v>
      </c>
      <c r="B334" s="85" t="s">
        <v>385</v>
      </c>
      <c r="C334" s="125" t="str">
        <f>IF(ISNUMBER(A334),IF(ISERROR(MATCH(A334,Programa!#REF!,0)),"Nunca",(INDEX(Programa!$A:$A,12)-D334)/7&amp;" semanas"),"")</f>
        <v>Nunca</v>
      </c>
      <c r="D334" s="121" t="str">
        <f ca="1">IF(ISNUMBER(A334),IF(ISERROR(MATCH(A334,Programa!#REF!,0)),"",INDIRECT(ADDRESS(12+MATCH(A334,Programa!#REF!,0)-MOD(12+MATCH(A334,Programa!#REF!,0),12),1,,,"Programa"))),"")</f>
        <v/>
      </c>
      <c r="E334" s="81"/>
      <c r="F334" s="81"/>
      <c r="G334" s="82"/>
      <c r="H334" s="82"/>
      <c r="I334" s="82"/>
      <c r="J334" s="82"/>
      <c r="K334" s="82"/>
      <c r="L334" s="82"/>
      <c r="M334" s="82"/>
    </row>
    <row r="335" spans="1:13" x14ac:dyDescent="0.25">
      <c r="A335" s="84">
        <v>196</v>
      </c>
      <c r="B335" s="85" t="s">
        <v>386</v>
      </c>
      <c r="C335" s="125" t="str">
        <f>IF(ISNUMBER(A335),IF(ISERROR(MATCH(A335,Programa!#REF!,0)),"Nunca",(INDEX(Programa!$A:$A,12)-D335)/7&amp;" semanas"),"")</f>
        <v>Nunca</v>
      </c>
      <c r="D335" s="121" t="str">
        <f ca="1">IF(ISNUMBER(A335),IF(ISERROR(MATCH(A335,Programa!#REF!,0)),"",INDIRECT(ADDRESS(12+MATCH(A335,Programa!#REF!,0)-MOD(12+MATCH(A335,Programa!#REF!,0),12),1,,,"Programa"))),"")</f>
        <v/>
      </c>
      <c r="E335" s="81"/>
      <c r="F335" s="81"/>
      <c r="G335" s="82"/>
      <c r="H335" s="82"/>
      <c r="I335" s="82"/>
      <c r="J335" s="82"/>
      <c r="K335" s="82"/>
      <c r="L335" s="82"/>
      <c r="M335" s="82"/>
    </row>
    <row r="336" spans="1:13" x14ac:dyDescent="0.25">
      <c r="A336" s="84">
        <v>197</v>
      </c>
      <c r="B336" s="85" t="s">
        <v>387</v>
      </c>
      <c r="C336" s="125" t="str">
        <f>IF(ISNUMBER(A336),IF(ISERROR(MATCH(A336,Programa!#REF!,0)),"Nunca",(INDEX(Programa!$A:$A,12)-D336)/7&amp;" semanas"),"")</f>
        <v>Nunca</v>
      </c>
      <c r="D336" s="121" t="str">
        <f ca="1">IF(ISNUMBER(A336),IF(ISERROR(MATCH(A336,Programa!#REF!,0)),"",INDIRECT(ADDRESS(12+MATCH(A336,Programa!#REF!,0)-MOD(12+MATCH(A336,Programa!#REF!,0),12),1,,,"Programa"))),"")</f>
        <v/>
      </c>
      <c r="E336" s="81"/>
      <c r="F336" s="81"/>
      <c r="G336" s="82"/>
      <c r="H336" s="82"/>
      <c r="I336" s="82"/>
      <c r="J336" s="82"/>
      <c r="K336" s="82"/>
      <c r="L336" s="82"/>
      <c r="M336" s="82"/>
    </row>
    <row r="337" spans="1:13" x14ac:dyDescent="0.25">
      <c r="A337" s="84">
        <v>197</v>
      </c>
      <c r="B337" s="85" t="s">
        <v>388</v>
      </c>
      <c r="C337" s="125" t="str">
        <f>IF(ISNUMBER(A337),IF(ISERROR(MATCH(A337,Programa!#REF!,0)),"Nunca",(INDEX(Programa!$A:$A,12)-D337)/7&amp;" semanas"),"")</f>
        <v>Nunca</v>
      </c>
      <c r="D337" s="121" t="str">
        <f ca="1">IF(ISNUMBER(A337),IF(ISERROR(MATCH(A337,Programa!#REF!,0)),"",INDIRECT(ADDRESS(12+MATCH(A337,Programa!#REF!,0)-MOD(12+MATCH(A337,Programa!#REF!,0),12),1,,,"Programa"))),"")</f>
        <v/>
      </c>
      <c r="E337" s="81"/>
      <c r="F337" s="81"/>
      <c r="G337" s="82"/>
      <c r="H337" s="82"/>
      <c r="I337" s="82"/>
      <c r="J337" s="82"/>
      <c r="K337" s="82"/>
      <c r="L337" s="82"/>
      <c r="M337" s="82"/>
    </row>
    <row r="338" spans="1:13" x14ac:dyDescent="0.25">
      <c r="A338" s="84">
        <v>198</v>
      </c>
      <c r="B338" s="85" t="s">
        <v>389</v>
      </c>
      <c r="C338" s="125" t="str">
        <f>IF(ISNUMBER(A338),IF(ISERROR(MATCH(A338,Programa!#REF!,0)),"Nunca",(INDEX(Programa!$A:$A,12)-D338)/7&amp;" semanas"),"")</f>
        <v>Nunca</v>
      </c>
      <c r="D338" s="121" t="str">
        <f ca="1">IF(ISNUMBER(A338),IF(ISERROR(MATCH(A338,Programa!#REF!,0)),"",INDIRECT(ADDRESS(12+MATCH(A338,Programa!#REF!,0)-MOD(12+MATCH(A338,Programa!#REF!,0),12),1,,,"Programa"))),"")</f>
        <v/>
      </c>
      <c r="E338" s="81"/>
      <c r="F338" s="81"/>
      <c r="G338" s="82"/>
      <c r="H338" s="82"/>
      <c r="I338" s="82"/>
      <c r="J338" s="82"/>
      <c r="K338" s="82"/>
      <c r="L338" s="82"/>
      <c r="M338" s="82"/>
    </row>
    <row r="339" spans="1:13" x14ac:dyDescent="0.25">
      <c r="A339" s="84">
        <v>198</v>
      </c>
      <c r="B339" s="85" t="s">
        <v>390</v>
      </c>
      <c r="C339" s="125" t="str">
        <f>IF(ISNUMBER(A339),IF(ISERROR(MATCH(A339,Programa!#REF!,0)),"Nunca",(INDEX(Programa!$A:$A,12)-D339)/7&amp;" semanas"),"")</f>
        <v>Nunca</v>
      </c>
      <c r="D339" s="121" t="str">
        <f ca="1">IF(ISNUMBER(A339),IF(ISERROR(MATCH(A339,Programa!#REF!,0)),"",INDIRECT(ADDRESS(12+MATCH(A339,Programa!#REF!,0)-MOD(12+MATCH(A339,Programa!#REF!,0),12),1,,,"Programa"))),"")</f>
        <v/>
      </c>
      <c r="E339" s="81"/>
      <c r="F339" s="81"/>
      <c r="G339" s="82"/>
      <c r="H339" s="82"/>
      <c r="I339" s="82"/>
      <c r="J339" s="82"/>
      <c r="K339" s="82"/>
      <c r="L339" s="82"/>
      <c r="M339" s="82"/>
    </row>
    <row r="340" spans="1:13" x14ac:dyDescent="0.25">
      <c r="A340" s="84">
        <v>199</v>
      </c>
      <c r="B340" s="85" t="s">
        <v>391</v>
      </c>
      <c r="C340" s="125" t="str">
        <f>IF(ISNUMBER(A340),IF(ISERROR(MATCH(A340,Programa!#REF!,0)),"Nunca",(INDEX(Programa!$A:$A,12)-D340)/7&amp;" semanas"),"")</f>
        <v>Nunca</v>
      </c>
      <c r="D340" s="121" t="str">
        <f ca="1">IF(ISNUMBER(A340),IF(ISERROR(MATCH(A340,Programa!#REF!,0)),"",INDIRECT(ADDRESS(12+MATCH(A340,Programa!#REF!,0)-MOD(12+MATCH(A340,Programa!#REF!,0),12),1,,,"Programa"))),"")</f>
        <v/>
      </c>
      <c r="E340" s="81"/>
      <c r="F340" s="81"/>
      <c r="G340" s="82"/>
      <c r="H340" s="82"/>
      <c r="I340" s="82"/>
      <c r="J340" s="82"/>
      <c r="K340" s="82"/>
      <c r="L340" s="82"/>
      <c r="M340" s="82"/>
    </row>
    <row r="341" spans="1:13" x14ac:dyDescent="0.25">
      <c r="A341" s="84">
        <v>199</v>
      </c>
      <c r="B341" s="85" t="s">
        <v>392</v>
      </c>
      <c r="C341" s="125" t="str">
        <f>IF(ISNUMBER(A341),IF(ISERROR(MATCH(A341,Programa!#REF!,0)),"Nunca",(INDEX(Programa!$A:$A,12)-D341)/7&amp;" semanas"),"")</f>
        <v>Nunca</v>
      </c>
      <c r="D341" s="121" t="str">
        <f ca="1">IF(ISNUMBER(A341),IF(ISERROR(MATCH(A341,Programa!#REF!,0)),"",INDIRECT(ADDRESS(12+MATCH(A341,Programa!#REF!,0)-MOD(12+MATCH(A341,Programa!#REF!,0),12),1,,,"Programa"))),"")</f>
        <v/>
      </c>
      <c r="E341" s="81"/>
      <c r="F341" s="81"/>
      <c r="G341" s="82"/>
      <c r="H341" s="82"/>
      <c r="I341" s="82"/>
      <c r="J341" s="82"/>
      <c r="K341" s="82"/>
      <c r="L341" s="82"/>
      <c r="M341" s="82"/>
    </row>
    <row r="342" spans="1:13" x14ac:dyDescent="0.25">
      <c r="A342" s="84">
        <v>200</v>
      </c>
      <c r="B342" s="85" t="s">
        <v>393</v>
      </c>
      <c r="C342" s="125" t="str">
        <f>IF(ISNUMBER(A342),IF(ISERROR(MATCH(A342,Programa!#REF!,0)),"Nunca",(INDEX(Programa!$A:$A,12)-D342)/7&amp;" semanas"),"")</f>
        <v>Nunca</v>
      </c>
      <c r="D342" s="121" t="str">
        <f ca="1">IF(ISNUMBER(A342),IF(ISERROR(MATCH(A342,Programa!#REF!,0)),"",INDIRECT(ADDRESS(12+MATCH(A342,Programa!#REF!,0)-MOD(12+MATCH(A342,Programa!#REF!,0),12),1,,,"Programa"))),"")</f>
        <v/>
      </c>
      <c r="E342" s="81"/>
      <c r="F342" s="81"/>
      <c r="G342" s="82"/>
      <c r="H342" s="82"/>
      <c r="I342" s="82"/>
      <c r="J342" s="82"/>
      <c r="K342" s="82"/>
      <c r="L342" s="82"/>
      <c r="M342" s="82"/>
    </row>
    <row r="343" spans="1:13" x14ac:dyDescent="0.25">
      <c r="A343" s="84">
        <v>200</v>
      </c>
      <c r="B343" s="85" t="s">
        <v>394</v>
      </c>
      <c r="C343" s="125" t="str">
        <f>IF(ISNUMBER(A343),IF(ISERROR(MATCH(A343,Programa!#REF!,0)),"Nunca",(INDEX(Programa!$A:$A,12)-D343)/7&amp;" semanas"),"")</f>
        <v>Nunca</v>
      </c>
      <c r="D343" s="121" t="str">
        <f ca="1">IF(ISNUMBER(A343),IF(ISERROR(MATCH(A343,Programa!#REF!,0)),"",INDIRECT(ADDRESS(12+MATCH(A343,Programa!#REF!,0)-MOD(12+MATCH(A343,Programa!#REF!,0),12),1,,,"Programa"))),"")</f>
        <v/>
      </c>
      <c r="E343" s="81"/>
      <c r="F343" s="81"/>
      <c r="G343" s="82"/>
      <c r="H343" s="82"/>
      <c r="I343" s="82"/>
      <c r="J343" s="82"/>
      <c r="K343" s="82"/>
      <c r="L343" s="82"/>
      <c r="M343" s="82"/>
    </row>
    <row r="344" spans="1:13" x14ac:dyDescent="0.25">
      <c r="A344" s="84">
        <v>201</v>
      </c>
      <c r="B344" s="85" t="s">
        <v>395</v>
      </c>
      <c r="C344" s="125" t="str">
        <f>IF(ISNUMBER(A344),IF(ISERROR(MATCH(A344,Programa!#REF!,0)),"Nunca",(INDEX(Programa!$A:$A,12)-D344)/7&amp;" semanas"),"")</f>
        <v>Nunca</v>
      </c>
      <c r="D344" s="121" t="str">
        <f ca="1">IF(ISNUMBER(A344),IF(ISERROR(MATCH(A344,Programa!#REF!,0)),"",INDIRECT(ADDRESS(12+MATCH(A344,Programa!#REF!,0)-MOD(12+MATCH(A344,Programa!#REF!,0),12),1,,,"Programa"))),"")</f>
        <v/>
      </c>
      <c r="E344" s="81"/>
      <c r="F344" s="81"/>
      <c r="G344" s="82"/>
      <c r="H344" s="82"/>
      <c r="I344" s="82"/>
      <c r="J344" s="82"/>
      <c r="K344" s="82"/>
      <c r="L344" s="82"/>
      <c r="M344" s="82"/>
    </row>
    <row r="345" spans="1:13" x14ac:dyDescent="0.25">
      <c r="A345" s="84">
        <v>201</v>
      </c>
      <c r="B345" s="85" t="s">
        <v>396</v>
      </c>
      <c r="C345" s="125" t="str">
        <f>IF(ISNUMBER(A345),IF(ISERROR(MATCH(A345,Programa!#REF!,0)),"Nunca",(INDEX(Programa!$A:$A,12)-D345)/7&amp;" semanas"),"")</f>
        <v>Nunca</v>
      </c>
      <c r="D345" s="121" t="str">
        <f ca="1">IF(ISNUMBER(A345),IF(ISERROR(MATCH(A345,Programa!#REF!,0)),"",INDIRECT(ADDRESS(12+MATCH(A345,Programa!#REF!,0)-MOD(12+MATCH(A345,Programa!#REF!,0),12),1,,,"Programa"))),"")</f>
        <v/>
      </c>
      <c r="E345" s="81"/>
      <c r="F345" s="81"/>
      <c r="G345" s="82"/>
      <c r="H345" s="82"/>
      <c r="I345" s="82"/>
      <c r="J345" s="82"/>
      <c r="K345" s="82"/>
      <c r="L345" s="82"/>
      <c r="M345" s="82"/>
    </row>
    <row r="346" spans="1:13" x14ac:dyDescent="0.25">
      <c r="A346" s="84">
        <v>202</v>
      </c>
      <c r="B346" s="85" t="s">
        <v>254</v>
      </c>
      <c r="C346" s="125" t="str">
        <f>IF(ISNUMBER(A346),IF(ISERROR(MATCH(A346,Programa!#REF!,0)),"Nunca",(INDEX(Programa!$A:$A,12)-D346)/7&amp;" semanas"),"")</f>
        <v>Nunca</v>
      </c>
      <c r="D346" s="121" t="str">
        <f ca="1">IF(ISNUMBER(A346),IF(ISERROR(MATCH(A346,Programa!#REF!,0)),"",INDIRECT(ADDRESS(12+MATCH(A346,Programa!#REF!,0)-MOD(12+MATCH(A346,Programa!#REF!,0),12),1,,,"Programa"))),"")</f>
        <v/>
      </c>
      <c r="E346" s="81"/>
      <c r="F346" s="81"/>
      <c r="G346" s="82"/>
      <c r="H346" s="82"/>
      <c r="I346" s="82"/>
      <c r="J346" s="82"/>
      <c r="K346" s="82"/>
      <c r="L346" s="82"/>
      <c r="M346" s="82"/>
    </row>
    <row r="347" spans="1:13" x14ac:dyDescent="0.25">
      <c r="A347" s="84">
        <v>202</v>
      </c>
      <c r="B347" s="85" t="s">
        <v>397</v>
      </c>
      <c r="C347" s="125" t="str">
        <f>IF(ISNUMBER(A347),IF(ISERROR(MATCH(A347,Programa!#REF!,0)),"Nunca",(INDEX(Programa!$A:$A,12)-D347)/7&amp;" semanas"),"")</f>
        <v>Nunca</v>
      </c>
      <c r="D347" s="121" t="str">
        <f ca="1">IF(ISNUMBER(A347),IF(ISERROR(MATCH(A347,Programa!#REF!,0)),"",INDIRECT(ADDRESS(12+MATCH(A347,Programa!#REF!,0)-MOD(12+MATCH(A347,Programa!#REF!,0),12),1,,,"Programa"))),"")</f>
        <v/>
      </c>
      <c r="E347" s="81"/>
      <c r="F347" s="81"/>
      <c r="G347" s="82"/>
      <c r="H347" s="82"/>
      <c r="I347" s="82"/>
      <c r="J347" s="82"/>
      <c r="K347" s="82"/>
      <c r="L347" s="82"/>
      <c r="M347" s="82"/>
    </row>
    <row r="348" spans="1:13" x14ac:dyDescent="0.25">
      <c r="A348" s="84">
        <v>203</v>
      </c>
      <c r="B348" s="85" t="s">
        <v>398</v>
      </c>
      <c r="C348" s="125" t="str">
        <f>IF(ISNUMBER(A348),IF(ISERROR(MATCH(A348,Programa!#REF!,0)),"Nunca",(INDEX(Programa!$A:$A,12)-D348)/7&amp;" semanas"),"")</f>
        <v>Nunca</v>
      </c>
      <c r="D348" s="121" t="str">
        <f ca="1">IF(ISNUMBER(A348),IF(ISERROR(MATCH(A348,Programa!#REF!,0)),"",INDIRECT(ADDRESS(12+MATCH(A348,Programa!#REF!,0)-MOD(12+MATCH(A348,Programa!#REF!,0),12),1,,,"Programa"))),"")</f>
        <v/>
      </c>
      <c r="E348" s="81"/>
      <c r="F348" s="81"/>
      <c r="G348" s="82"/>
      <c r="H348" s="82"/>
      <c r="I348" s="82"/>
      <c r="J348" s="82"/>
      <c r="K348" s="82"/>
      <c r="L348" s="82"/>
      <c r="M348" s="82"/>
    </row>
    <row r="349" spans="1:13" x14ac:dyDescent="0.25">
      <c r="A349" s="84">
        <v>203</v>
      </c>
      <c r="B349" s="85" t="s">
        <v>399</v>
      </c>
      <c r="C349" s="125" t="str">
        <f>IF(ISNUMBER(A349),IF(ISERROR(MATCH(A349,Programa!#REF!,0)),"Nunca",(INDEX(Programa!$A:$A,12)-D349)/7&amp;" semanas"),"")</f>
        <v>Nunca</v>
      </c>
      <c r="D349" s="121" t="str">
        <f ca="1">IF(ISNUMBER(A349),IF(ISERROR(MATCH(A349,Programa!#REF!,0)),"",INDIRECT(ADDRESS(12+MATCH(A349,Programa!#REF!,0)-MOD(12+MATCH(A349,Programa!#REF!,0),12),1,,,"Programa"))),"")</f>
        <v/>
      </c>
      <c r="E349" s="81"/>
      <c r="F349" s="81"/>
      <c r="G349" s="82"/>
      <c r="H349" s="82"/>
      <c r="I349" s="82"/>
      <c r="J349" s="82"/>
      <c r="K349" s="82"/>
      <c r="L349" s="82"/>
      <c r="M349" s="82"/>
    </row>
    <row r="350" spans="1:13" x14ac:dyDescent="0.25">
      <c r="A350" s="84">
        <v>204</v>
      </c>
      <c r="B350" s="85" t="s">
        <v>400</v>
      </c>
      <c r="C350" s="125" t="str">
        <f>IF(ISNUMBER(A350),IF(ISERROR(MATCH(A350,Programa!#REF!,0)),"Nunca",(INDEX(Programa!$A:$A,12)-D350)/7&amp;" semanas"),"")</f>
        <v>Nunca</v>
      </c>
      <c r="D350" s="121" t="str">
        <f ca="1">IF(ISNUMBER(A350),IF(ISERROR(MATCH(A350,Programa!#REF!,0)),"",INDIRECT(ADDRESS(12+MATCH(A350,Programa!#REF!,0)-MOD(12+MATCH(A350,Programa!#REF!,0),12),1,,,"Programa"))),"")</f>
        <v/>
      </c>
      <c r="E350" s="81"/>
      <c r="F350" s="81"/>
      <c r="G350" s="82"/>
      <c r="H350" s="82"/>
      <c r="I350" s="82"/>
      <c r="J350" s="82"/>
      <c r="K350" s="82"/>
      <c r="L350" s="82"/>
      <c r="M350" s="82"/>
    </row>
    <row r="351" spans="1:13" x14ac:dyDescent="0.25">
      <c r="A351" s="84">
        <v>204</v>
      </c>
      <c r="B351" s="85" t="s">
        <v>401</v>
      </c>
      <c r="C351" s="125" t="str">
        <f>IF(ISNUMBER(A351),IF(ISERROR(MATCH(A351,Programa!#REF!,0)),"Nunca",(INDEX(Programa!$A:$A,12)-D351)/7&amp;" semanas"),"")</f>
        <v>Nunca</v>
      </c>
      <c r="D351" s="121" t="str">
        <f ca="1">IF(ISNUMBER(A351),IF(ISERROR(MATCH(A351,Programa!#REF!,0)),"",INDIRECT(ADDRESS(12+MATCH(A351,Programa!#REF!,0)-MOD(12+MATCH(A351,Programa!#REF!,0),12),1,,,"Programa"))),"")</f>
        <v/>
      </c>
      <c r="E351" s="81"/>
      <c r="F351" s="81"/>
      <c r="G351" s="82"/>
      <c r="H351" s="82"/>
      <c r="I351" s="82"/>
      <c r="J351" s="82"/>
      <c r="K351" s="82"/>
      <c r="L351" s="82"/>
      <c r="M351" s="82"/>
    </row>
    <row r="352" spans="1:13" x14ac:dyDescent="0.25">
      <c r="A352" s="84">
        <v>205</v>
      </c>
      <c r="B352" s="85" t="s">
        <v>402</v>
      </c>
      <c r="C352" s="125" t="str">
        <f>IF(ISNUMBER(A352),IF(ISERROR(MATCH(A352,Programa!#REF!,0)),"Nunca",(INDEX(Programa!$A:$A,12)-D352)/7&amp;" semanas"),"")</f>
        <v>Nunca</v>
      </c>
      <c r="D352" s="121" t="str">
        <f ca="1">IF(ISNUMBER(A352),IF(ISERROR(MATCH(A352,Programa!#REF!,0)),"",INDIRECT(ADDRESS(12+MATCH(A352,Programa!#REF!,0)-MOD(12+MATCH(A352,Programa!#REF!,0),12),1,,,"Programa"))),"")</f>
        <v/>
      </c>
      <c r="E352" s="81"/>
      <c r="F352" s="81"/>
      <c r="G352" s="82"/>
      <c r="H352" s="82"/>
      <c r="I352" s="82"/>
      <c r="J352" s="82"/>
      <c r="K352" s="82"/>
      <c r="L352" s="82"/>
      <c r="M352" s="82"/>
    </row>
    <row r="353" spans="1:13" x14ac:dyDescent="0.25">
      <c r="A353" s="84">
        <v>205</v>
      </c>
      <c r="B353" s="85" t="s">
        <v>403</v>
      </c>
      <c r="C353" s="125" t="str">
        <f>IF(ISNUMBER(A353),IF(ISERROR(MATCH(A353,Programa!#REF!,0)),"Nunca",(INDEX(Programa!$A:$A,12)-D353)/7&amp;" semanas"),"")</f>
        <v>Nunca</v>
      </c>
      <c r="D353" s="121" t="str">
        <f ca="1">IF(ISNUMBER(A353),IF(ISERROR(MATCH(A353,Programa!#REF!,0)),"",INDIRECT(ADDRESS(12+MATCH(A353,Programa!#REF!,0)-MOD(12+MATCH(A353,Programa!#REF!,0),12),1,,,"Programa"))),"")</f>
        <v/>
      </c>
      <c r="E353" s="81"/>
      <c r="F353" s="81"/>
      <c r="G353" s="82"/>
      <c r="H353" s="82"/>
      <c r="I353" s="82"/>
      <c r="J353" s="82"/>
      <c r="K353" s="82"/>
      <c r="L353" s="82"/>
      <c r="M353" s="82"/>
    </row>
    <row r="354" spans="1:13" x14ac:dyDescent="0.25">
      <c r="A354" s="84">
        <v>206</v>
      </c>
      <c r="B354" s="85" t="s">
        <v>404</v>
      </c>
      <c r="C354" s="125" t="str">
        <f>IF(ISNUMBER(A354),IF(ISERROR(MATCH(A354,Programa!#REF!,0)),"Nunca",(INDEX(Programa!$A:$A,12)-D354)/7&amp;" semanas"),"")</f>
        <v>Nunca</v>
      </c>
      <c r="D354" s="121" t="str">
        <f ca="1">IF(ISNUMBER(A354),IF(ISERROR(MATCH(A354,Programa!#REF!,0)),"",INDIRECT(ADDRESS(12+MATCH(A354,Programa!#REF!,0)-MOD(12+MATCH(A354,Programa!#REF!,0),12),1,,,"Programa"))),"")</f>
        <v/>
      </c>
      <c r="E354" s="81"/>
      <c r="F354" s="81"/>
      <c r="G354" s="82"/>
      <c r="H354" s="82"/>
      <c r="I354" s="82"/>
      <c r="J354" s="82"/>
      <c r="K354" s="82"/>
      <c r="L354" s="82"/>
      <c r="M354" s="82"/>
    </row>
    <row r="355" spans="1:13" x14ac:dyDescent="0.25">
      <c r="A355" s="84">
        <v>206</v>
      </c>
      <c r="B355" s="85" t="s">
        <v>405</v>
      </c>
      <c r="C355" s="125" t="str">
        <f>IF(ISNUMBER(A355),IF(ISERROR(MATCH(A355,Programa!#REF!,0)),"Nunca",(INDEX(Programa!$A:$A,12)-D355)/7&amp;" semanas"),"")</f>
        <v>Nunca</v>
      </c>
      <c r="D355" s="121" t="str">
        <f ca="1">IF(ISNUMBER(A355),IF(ISERROR(MATCH(A355,Programa!#REF!,0)),"",INDIRECT(ADDRESS(12+MATCH(A355,Programa!#REF!,0)-MOD(12+MATCH(A355,Programa!#REF!,0),12),1,,,"Programa"))),"")</f>
        <v/>
      </c>
      <c r="E355" s="81"/>
      <c r="F355" s="81"/>
      <c r="G355" s="82"/>
      <c r="H355" s="82"/>
      <c r="I355" s="82"/>
      <c r="J355" s="82"/>
      <c r="K355" s="82"/>
      <c r="L355" s="82"/>
      <c r="M355" s="82"/>
    </row>
    <row r="356" spans="1:13" x14ac:dyDescent="0.25">
      <c r="A356" s="84">
        <v>207</v>
      </c>
      <c r="B356" s="85" t="s">
        <v>406</v>
      </c>
      <c r="C356" s="125" t="str">
        <f>IF(ISNUMBER(A356),IF(ISERROR(MATCH(A356,Programa!#REF!,0)),"Nunca",(INDEX(Programa!$A:$A,12)-D356)/7&amp;" semanas"),"")</f>
        <v>Nunca</v>
      </c>
      <c r="D356" s="121" t="str">
        <f ca="1">IF(ISNUMBER(A356),IF(ISERROR(MATCH(A356,Programa!#REF!,0)),"",INDIRECT(ADDRESS(12+MATCH(A356,Programa!#REF!,0)-MOD(12+MATCH(A356,Programa!#REF!,0),12),1,,,"Programa"))),"")</f>
        <v/>
      </c>
      <c r="E356" s="81"/>
      <c r="F356" s="81"/>
      <c r="G356" s="82"/>
      <c r="H356" s="82"/>
      <c r="I356" s="82"/>
      <c r="J356" s="82"/>
      <c r="K356" s="82"/>
      <c r="L356" s="82"/>
      <c r="M356" s="82"/>
    </row>
    <row r="357" spans="1:13" x14ac:dyDescent="0.25">
      <c r="A357" s="84">
        <v>207</v>
      </c>
      <c r="B357" s="85" t="s">
        <v>407</v>
      </c>
      <c r="C357" s="125" t="str">
        <f>IF(ISNUMBER(A357),IF(ISERROR(MATCH(A357,Programa!#REF!,0)),"Nunca",(INDEX(Programa!$A:$A,12)-D357)/7&amp;" semanas"),"")</f>
        <v>Nunca</v>
      </c>
      <c r="D357" s="121" t="str">
        <f ca="1">IF(ISNUMBER(A357),IF(ISERROR(MATCH(A357,Programa!#REF!,0)),"",INDIRECT(ADDRESS(12+MATCH(A357,Programa!#REF!,0)-MOD(12+MATCH(A357,Programa!#REF!,0),12),1,,,"Programa"))),"")</f>
        <v/>
      </c>
      <c r="E357" s="81"/>
      <c r="F357" s="81"/>
      <c r="G357" s="82"/>
      <c r="H357" s="82"/>
      <c r="I357" s="82"/>
      <c r="J357" s="82"/>
      <c r="K357" s="82"/>
      <c r="L357" s="82"/>
      <c r="M357" s="82"/>
    </row>
    <row r="358" spans="1:13" x14ac:dyDescent="0.25">
      <c r="A358" s="84">
        <v>208</v>
      </c>
      <c r="B358" s="85" t="s">
        <v>408</v>
      </c>
      <c r="C358" s="125" t="str">
        <f>IF(ISNUMBER(A358),IF(ISERROR(MATCH(A358,Programa!#REF!,0)),"Nunca",(INDEX(Programa!$A:$A,12)-D358)/7&amp;" semanas"),"")</f>
        <v>Nunca</v>
      </c>
      <c r="D358" s="121" t="str">
        <f ca="1">IF(ISNUMBER(A358),IF(ISERROR(MATCH(A358,Programa!#REF!,0)),"",INDIRECT(ADDRESS(12+MATCH(A358,Programa!#REF!,0)-MOD(12+MATCH(A358,Programa!#REF!,0),12),1,,,"Programa"))),"")</f>
        <v/>
      </c>
      <c r="E358" s="81"/>
      <c r="F358" s="81"/>
      <c r="G358" s="82"/>
      <c r="H358" s="82"/>
      <c r="I358" s="82"/>
      <c r="J358" s="82"/>
      <c r="K358" s="82"/>
      <c r="L358" s="82"/>
      <c r="M358" s="82"/>
    </row>
    <row r="359" spans="1:13" x14ac:dyDescent="0.25">
      <c r="A359" s="84">
        <v>208</v>
      </c>
      <c r="B359" s="85" t="s">
        <v>409</v>
      </c>
      <c r="C359" s="125" t="str">
        <f>IF(ISNUMBER(A359),IF(ISERROR(MATCH(A359,Programa!#REF!,0)),"Nunca",(INDEX(Programa!$A:$A,12)-D359)/7&amp;" semanas"),"")</f>
        <v>Nunca</v>
      </c>
      <c r="D359" s="121" t="str">
        <f ca="1">IF(ISNUMBER(A359),IF(ISERROR(MATCH(A359,Programa!#REF!,0)),"",INDIRECT(ADDRESS(12+MATCH(A359,Programa!#REF!,0)-MOD(12+MATCH(A359,Programa!#REF!,0),12),1,,,"Programa"))),"")</f>
        <v/>
      </c>
      <c r="E359" s="81"/>
      <c r="F359" s="81"/>
      <c r="G359" s="82"/>
      <c r="H359" s="82"/>
      <c r="I359" s="82"/>
      <c r="J359" s="82"/>
      <c r="K359" s="82"/>
      <c r="L359" s="82"/>
      <c r="M359" s="82"/>
    </row>
    <row r="360" spans="1:13" x14ac:dyDescent="0.25">
      <c r="A360" s="84">
        <v>209</v>
      </c>
      <c r="B360" s="85" t="s">
        <v>410</v>
      </c>
      <c r="C360" s="125" t="str">
        <f>IF(ISNUMBER(A360),IF(ISERROR(MATCH(A360,Programa!#REF!,0)),"Nunca",(INDEX(Programa!$A:$A,12)-D360)/7&amp;" semanas"),"")</f>
        <v>Nunca</v>
      </c>
      <c r="D360" s="121" t="str">
        <f ca="1">IF(ISNUMBER(A360),IF(ISERROR(MATCH(A360,Programa!#REF!,0)),"",INDIRECT(ADDRESS(12+MATCH(A360,Programa!#REF!,0)-MOD(12+MATCH(A360,Programa!#REF!,0),12),1,,,"Programa"))),"")</f>
        <v/>
      </c>
      <c r="E360" s="81"/>
      <c r="F360" s="81"/>
      <c r="G360" s="82"/>
      <c r="H360" s="82"/>
      <c r="I360" s="82"/>
      <c r="J360" s="82"/>
      <c r="K360" s="82"/>
      <c r="L360" s="82"/>
      <c r="M360" s="82"/>
    </row>
    <row r="361" spans="1:13" x14ac:dyDescent="0.25">
      <c r="A361" s="84">
        <v>209</v>
      </c>
      <c r="B361" s="85" t="s">
        <v>411</v>
      </c>
      <c r="C361" s="125" t="str">
        <f>IF(ISNUMBER(A361),IF(ISERROR(MATCH(A361,Programa!#REF!,0)),"Nunca",(INDEX(Programa!$A:$A,12)-D361)/7&amp;" semanas"),"")</f>
        <v>Nunca</v>
      </c>
      <c r="D361" s="121" t="str">
        <f ca="1">IF(ISNUMBER(A361),IF(ISERROR(MATCH(A361,Programa!#REF!,0)),"",INDIRECT(ADDRESS(12+MATCH(A361,Programa!#REF!,0)-MOD(12+MATCH(A361,Programa!#REF!,0),12),1,,,"Programa"))),"")</f>
        <v/>
      </c>
      <c r="E361" s="81"/>
      <c r="F361" s="81"/>
      <c r="G361" s="82"/>
      <c r="H361" s="82"/>
      <c r="I361" s="82"/>
      <c r="J361" s="82"/>
      <c r="K361" s="82"/>
      <c r="L361" s="82"/>
      <c r="M361" s="82"/>
    </row>
    <row r="362" spans="1:13" x14ac:dyDescent="0.25">
      <c r="A362" s="84">
        <v>210</v>
      </c>
      <c r="B362" s="85" t="s">
        <v>412</v>
      </c>
      <c r="C362" s="125" t="str">
        <f>IF(ISNUMBER(A362),IF(ISERROR(MATCH(A362,Programa!#REF!,0)),"Nunca",(INDEX(Programa!$A:$A,12)-D362)/7&amp;" semanas"),"")</f>
        <v>Nunca</v>
      </c>
      <c r="D362" s="121" t="str">
        <f ca="1">IF(ISNUMBER(A362),IF(ISERROR(MATCH(A362,Programa!#REF!,0)),"",INDIRECT(ADDRESS(12+MATCH(A362,Programa!#REF!,0)-MOD(12+MATCH(A362,Programa!#REF!,0),12),1,,,"Programa"))),"")</f>
        <v/>
      </c>
      <c r="E362" s="81"/>
      <c r="F362" s="81"/>
      <c r="G362" s="82"/>
      <c r="H362" s="82"/>
      <c r="I362" s="82"/>
      <c r="J362" s="82"/>
      <c r="K362" s="82"/>
      <c r="L362" s="82"/>
      <c r="M362" s="82"/>
    </row>
    <row r="363" spans="1:13" x14ac:dyDescent="0.25">
      <c r="A363" s="84">
        <v>210</v>
      </c>
      <c r="B363" s="85" t="s">
        <v>413</v>
      </c>
      <c r="C363" s="125" t="str">
        <f>IF(ISNUMBER(A363),IF(ISERROR(MATCH(A363,Programa!#REF!,0)),"Nunca",(INDEX(Programa!$A:$A,12)-D363)/7&amp;" semanas"),"")</f>
        <v>Nunca</v>
      </c>
      <c r="D363" s="121" t="str">
        <f ca="1">IF(ISNUMBER(A363),IF(ISERROR(MATCH(A363,Programa!#REF!,0)),"",INDIRECT(ADDRESS(12+MATCH(A363,Programa!#REF!,0)-MOD(12+MATCH(A363,Programa!#REF!,0),12),1,,,"Programa"))),"")</f>
        <v/>
      </c>
      <c r="E363" s="81"/>
      <c r="F363" s="81"/>
      <c r="G363" s="82"/>
      <c r="H363" s="82"/>
      <c r="I363" s="82"/>
      <c r="J363" s="82"/>
      <c r="K363" s="82"/>
      <c r="L363" s="82"/>
      <c r="M363" s="82"/>
    </row>
    <row r="364" spans="1:13" x14ac:dyDescent="0.25">
      <c r="A364" s="84">
        <v>211</v>
      </c>
      <c r="B364" s="85" t="s">
        <v>414</v>
      </c>
      <c r="C364" s="125" t="str">
        <f>IF(ISNUMBER(A364),IF(ISERROR(MATCH(A364,Programa!#REF!,0)),"Nunca",(INDEX(Programa!$A:$A,12)-D364)/7&amp;" semanas"),"")</f>
        <v>Nunca</v>
      </c>
      <c r="D364" s="121" t="str">
        <f ca="1">IF(ISNUMBER(A364),IF(ISERROR(MATCH(A364,Programa!#REF!,0)),"",INDIRECT(ADDRESS(12+MATCH(A364,Programa!#REF!,0)-MOD(12+MATCH(A364,Programa!#REF!,0),12),1,,,"Programa"))),"")</f>
        <v/>
      </c>
      <c r="E364" s="81"/>
      <c r="F364" s="81"/>
      <c r="G364" s="82"/>
      <c r="H364" s="82"/>
      <c r="I364" s="82"/>
      <c r="J364" s="82"/>
      <c r="K364" s="82"/>
      <c r="L364" s="82"/>
      <c r="M364" s="82"/>
    </row>
    <row r="365" spans="1:13" x14ac:dyDescent="0.25">
      <c r="A365" s="84">
        <v>211</v>
      </c>
      <c r="B365" s="85" t="s">
        <v>415</v>
      </c>
      <c r="C365" s="125" t="str">
        <f>IF(ISNUMBER(A365),IF(ISERROR(MATCH(A365,Programa!#REF!,0)),"Nunca",(INDEX(Programa!$A:$A,12)-D365)/7&amp;" semanas"),"")</f>
        <v>Nunca</v>
      </c>
      <c r="D365" s="121" t="str">
        <f ca="1">IF(ISNUMBER(A365),IF(ISERROR(MATCH(A365,Programa!#REF!,0)),"",INDIRECT(ADDRESS(12+MATCH(A365,Programa!#REF!,0)-MOD(12+MATCH(A365,Programa!#REF!,0),12),1,,,"Programa"))),"")</f>
        <v/>
      </c>
      <c r="E365" s="81"/>
      <c r="F365" s="81"/>
      <c r="G365" s="82"/>
      <c r="H365" s="82"/>
      <c r="I365" s="82"/>
      <c r="J365" s="82"/>
      <c r="K365" s="82"/>
      <c r="L365" s="82"/>
      <c r="M365" s="82"/>
    </row>
    <row r="366" spans="1:13" x14ac:dyDescent="0.25">
      <c r="A366" s="84">
        <v>212</v>
      </c>
      <c r="B366" s="85" t="s">
        <v>416</v>
      </c>
      <c r="C366" s="125" t="str">
        <f>IF(ISNUMBER(A366),IF(ISERROR(MATCH(A366,Programa!#REF!,0)),"Nunca",(INDEX(Programa!$A:$A,12)-D366)/7&amp;" semanas"),"")</f>
        <v>Nunca</v>
      </c>
      <c r="D366" s="121" t="str">
        <f ca="1">IF(ISNUMBER(A366),IF(ISERROR(MATCH(A366,Programa!#REF!,0)),"",INDIRECT(ADDRESS(12+MATCH(A366,Programa!#REF!,0)-MOD(12+MATCH(A366,Programa!#REF!,0),12),1,,,"Programa"))),"")</f>
        <v/>
      </c>
      <c r="E366" s="81"/>
      <c r="F366" s="81"/>
      <c r="G366" s="82"/>
      <c r="H366" s="82"/>
      <c r="I366" s="82"/>
      <c r="J366" s="82"/>
      <c r="K366" s="82"/>
      <c r="L366" s="82"/>
      <c r="M366" s="82"/>
    </row>
    <row r="367" spans="1:13" x14ac:dyDescent="0.25">
      <c r="A367" s="84">
        <v>212</v>
      </c>
      <c r="B367" s="85" t="s">
        <v>417</v>
      </c>
      <c r="C367" s="125" t="str">
        <f>IF(ISNUMBER(A367),IF(ISERROR(MATCH(A367,Programa!#REF!,0)),"Nunca",(INDEX(Programa!$A:$A,12)-D367)/7&amp;" semanas"),"")</f>
        <v>Nunca</v>
      </c>
      <c r="D367" s="121" t="str">
        <f ca="1">IF(ISNUMBER(A367),IF(ISERROR(MATCH(A367,Programa!#REF!,0)),"",INDIRECT(ADDRESS(12+MATCH(A367,Programa!#REF!,0)-MOD(12+MATCH(A367,Programa!#REF!,0),12),1,,,"Programa"))),"")</f>
        <v/>
      </c>
      <c r="E367" s="81"/>
      <c r="F367" s="81"/>
      <c r="G367" s="82"/>
      <c r="H367" s="82"/>
      <c r="I367" s="82"/>
      <c r="J367" s="82"/>
      <c r="K367" s="82"/>
      <c r="L367" s="82"/>
      <c r="M367" s="82"/>
    </row>
    <row r="368" spans="1:13" x14ac:dyDescent="0.25">
      <c r="A368" s="84">
        <v>213</v>
      </c>
      <c r="B368" s="85" t="s">
        <v>418</v>
      </c>
      <c r="C368" s="125" t="str">
        <f>IF(ISNUMBER(A368),IF(ISERROR(MATCH(A368,Programa!#REF!,0)),"Nunca",(INDEX(Programa!$A:$A,12)-D368)/7&amp;" semanas"),"")</f>
        <v>Nunca</v>
      </c>
      <c r="D368" s="121" t="str">
        <f ca="1">IF(ISNUMBER(A368),IF(ISERROR(MATCH(A368,Programa!#REF!,0)),"",INDIRECT(ADDRESS(12+MATCH(A368,Programa!#REF!,0)-MOD(12+MATCH(A368,Programa!#REF!,0),12),1,,,"Programa"))),"")</f>
        <v/>
      </c>
      <c r="E368" s="81"/>
      <c r="F368" s="81"/>
      <c r="G368" s="82"/>
      <c r="H368" s="82"/>
      <c r="I368" s="82"/>
      <c r="J368" s="82"/>
      <c r="K368" s="82"/>
      <c r="L368" s="82"/>
      <c r="M368" s="82"/>
    </row>
    <row r="369" spans="1:13" x14ac:dyDescent="0.25">
      <c r="A369" s="84">
        <v>213</v>
      </c>
      <c r="B369" s="85" t="s">
        <v>419</v>
      </c>
      <c r="C369" s="125" t="str">
        <f>IF(ISNUMBER(A369),IF(ISERROR(MATCH(A369,Programa!#REF!,0)),"Nunca",(INDEX(Programa!$A:$A,12)-D369)/7&amp;" semanas"),"")</f>
        <v>Nunca</v>
      </c>
      <c r="D369" s="121" t="str">
        <f ca="1">IF(ISNUMBER(A369),IF(ISERROR(MATCH(A369,Programa!#REF!,0)),"",INDIRECT(ADDRESS(12+MATCH(A369,Programa!#REF!,0)-MOD(12+MATCH(A369,Programa!#REF!,0),12),1,,,"Programa"))),"")</f>
        <v/>
      </c>
      <c r="E369" s="81"/>
      <c r="F369" s="81"/>
      <c r="G369" s="82"/>
      <c r="H369" s="82"/>
      <c r="I369" s="82"/>
      <c r="J369" s="82"/>
      <c r="K369" s="82"/>
      <c r="L369" s="82"/>
      <c r="M369" s="82"/>
    </row>
    <row r="370" spans="1:13" x14ac:dyDescent="0.25">
      <c r="A370" s="84">
        <v>214</v>
      </c>
      <c r="B370" s="85" t="s">
        <v>420</v>
      </c>
      <c r="C370" s="125" t="str">
        <f>IF(ISNUMBER(A370),IF(ISERROR(MATCH(A370,Programa!#REF!,0)),"Nunca",(INDEX(Programa!$A:$A,12)-D370)/7&amp;" semanas"),"")</f>
        <v>Nunca</v>
      </c>
      <c r="D370" s="121" t="str">
        <f ca="1">IF(ISNUMBER(A370),IF(ISERROR(MATCH(A370,Programa!#REF!,0)),"",INDIRECT(ADDRESS(12+MATCH(A370,Programa!#REF!,0)-MOD(12+MATCH(A370,Programa!#REF!,0),12),1,,,"Programa"))),"")</f>
        <v/>
      </c>
      <c r="E370" s="81"/>
      <c r="F370" s="81"/>
      <c r="G370" s="82"/>
      <c r="H370" s="82"/>
      <c r="I370" s="82"/>
      <c r="J370" s="82"/>
      <c r="K370" s="82"/>
      <c r="L370" s="82"/>
      <c r="M370" s="82"/>
    </row>
    <row r="371" spans="1:13" x14ac:dyDescent="0.25">
      <c r="A371" s="84">
        <v>214</v>
      </c>
      <c r="B371" s="85" t="s">
        <v>421</v>
      </c>
      <c r="C371" s="125" t="str">
        <f>IF(ISNUMBER(A371),IF(ISERROR(MATCH(A371,Programa!#REF!,0)),"Nunca",(INDEX(Programa!$A:$A,12)-D371)/7&amp;" semanas"),"")</f>
        <v>Nunca</v>
      </c>
      <c r="D371" s="121" t="str">
        <f ca="1">IF(ISNUMBER(A371),IF(ISERROR(MATCH(A371,Programa!#REF!,0)),"",INDIRECT(ADDRESS(12+MATCH(A371,Programa!#REF!,0)-MOD(12+MATCH(A371,Programa!#REF!,0),12),1,,,"Programa"))),"")</f>
        <v/>
      </c>
      <c r="E371" s="81"/>
      <c r="F371" s="81"/>
      <c r="G371" s="82"/>
      <c r="H371" s="82"/>
      <c r="I371" s="82"/>
      <c r="J371" s="82"/>
      <c r="K371" s="82"/>
      <c r="L371" s="82"/>
      <c r="M371" s="82"/>
    </row>
    <row r="372" spans="1:13" x14ac:dyDescent="0.25">
      <c r="A372" s="84">
        <v>215</v>
      </c>
      <c r="B372" s="85" t="s">
        <v>422</v>
      </c>
      <c r="C372" s="125" t="str">
        <f>IF(ISNUMBER(A372),IF(ISERROR(MATCH(A372,Programa!#REF!,0)),"Nunca",(INDEX(Programa!$A:$A,12)-D372)/7&amp;" semanas"),"")</f>
        <v>Nunca</v>
      </c>
      <c r="D372" s="121" t="str">
        <f ca="1">IF(ISNUMBER(A372),IF(ISERROR(MATCH(A372,Programa!#REF!,0)),"",INDIRECT(ADDRESS(12+MATCH(A372,Programa!#REF!,0)-MOD(12+MATCH(A372,Programa!#REF!,0),12),1,,,"Programa"))),"")</f>
        <v/>
      </c>
      <c r="E372" s="81"/>
      <c r="F372" s="81"/>
      <c r="G372" s="82"/>
      <c r="H372" s="82"/>
      <c r="I372" s="82"/>
      <c r="J372" s="82"/>
      <c r="K372" s="82"/>
      <c r="L372" s="82"/>
      <c r="M372" s="82"/>
    </row>
    <row r="373" spans="1:13" x14ac:dyDescent="0.25">
      <c r="A373" s="84">
        <v>215</v>
      </c>
      <c r="B373" s="85" t="s">
        <v>423</v>
      </c>
      <c r="C373" s="125" t="str">
        <f>IF(ISNUMBER(A373),IF(ISERROR(MATCH(A373,Programa!#REF!,0)),"Nunca",(INDEX(Programa!$A:$A,12)-D373)/7&amp;" semanas"),"")</f>
        <v>Nunca</v>
      </c>
      <c r="D373" s="121" t="str">
        <f ca="1">IF(ISNUMBER(A373),IF(ISERROR(MATCH(A373,Programa!#REF!,0)),"",INDIRECT(ADDRESS(12+MATCH(A373,Programa!#REF!,0)-MOD(12+MATCH(A373,Programa!#REF!,0),12),1,,,"Programa"))),"")</f>
        <v/>
      </c>
      <c r="E373" s="81"/>
      <c r="F373" s="81"/>
      <c r="G373" s="82"/>
      <c r="H373" s="82"/>
      <c r="I373" s="82"/>
      <c r="J373" s="82"/>
      <c r="K373" s="82"/>
      <c r="L373" s="82"/>
      <c r="M373" s="82"/>
    </row>
    <row r="374" spans="1:13" x14ac:dyDescent="0.25">
      <c r="A374" s="84">
        <v>216</v>
      </c>
      <c r="B374" s="85" t="s">
        <v>424</v>
      </c>
      <c r="C374" s="125" t="str">
        <f>IF(ISNUMBER(A374),IF(ISERROR(MATCH(A374,Programa!#REF!,0)),"Nunca",(INDEX(Programa!$A:$A,12)-D374)/7&amp;" semanas"),"")</f>
        <v>Nunca</v>
      </c>
      <c r="D374" s="121" t="str">
        <f ca="1">IF(ISNUMBER(A374),IF(ISERROR(MATCH(A374,Programa!#REF!,0)),"",INDIRECT(ADDRESS(12+MATCH(A374,Programa!#REF!,0)-MOD(12+MATCH(A374,Programa!#REF!,0),12),1,,,"Programa"))),"")</f>
        <v/>
      </c>
      <c r="E374" s="81"/>
      <c r="F374" s="81"/>
      <c r="G374" s="82"/>
      <c r="H374" s="82"/>
      <c r="I374" s="82"/>
      <c r="J374" s="82"/>
      <c r="K374" s="82"/>
      <c r="L374" s="82"/>
      <c r="M374" s="82"/>
    </row>
    <row r="375" spans="1:13" x14ac:dyDescent="0.25">
      <c r="A375" s="84">
        <v>216</v>
      </c>
      <c r="B375" s="85" t="s">
        <v>425</v>
      </c>
      <c r="C375" s="125" t="str">
        <f>IF(ISNUMBER(A375),IF(ISERROR(MATCH(A375,Programa!#REF!,0)),"Nunca",(INDEX(Programa!$A:$A,12)-D375)/7&amp;" semanas"),"")</f>
        <v>Nunca</v>
      </c>
      <c r="D375" s="121" t="str">
        <f ca="1">IF(ISNUMBER(A375),IF(ISERROR(MATCH(A375,Programa!#REF!,0)),"",INDIRECT(ADDRESS(12+MATCH(A375,Programa!#REF!,0)-MOD(12+MATCH(A375,Programa!#REF!,0),12),1,,,"Programa"))),"")</f>
        <v/>
      </c>
      <c r="E375" s="81"/>
      <c r="F375" s="81"/>
      <c r="G375" s="82"/>
      <c r="H375" s="82"/>
      <c r="I375" s="82"/>
      <c r="J375" s="82"/>
      <c r="K375" s="82"/>
      <c r="L375" s="82"/>
      <c r="M375" s="82"/>
    </row>
    <row r="376" spans="1:13" x14ac:dyDescent="0.25">
      <c r="A376" s="84">
        <v>217</v>
      </c>
      <c r="B376" s="85" t="s">
        <v>426</v>
      </c>
      <c r="C376" s="125" t="str">
        <f>IF(ISNUMBER(A376),IF(ISERROR(MATCH(A376,Programa!#REF!,0)),"Nunca",(INDEX(Programa!$A:$A,12)-D376)/7&amp;" semanas"),"")</f>
        <v>Nunca</v>
      </c>
      <c r="D376" s="121" t="str">
        <f ca="1">IF(ISNUMBER(A376),IF(ISERROR(MATCH(A376,Programa!#REF!,0)),"",INDIRECT(ADDRESS(12+MATCH(A376,Programa!#REF!,0)-MOD(12+MATCH(A376,Programa!#REF!,0),12),1,,,"Programa"))),"")</f>
        <v/>
      </c>
      <c r="E376" s="81"/>
      <c r="F376" s="81"/>
      <c r="G376" s="82"/>
      <c r="H376" s="82"/>
      <c r="I376" s="82"/>
      <c r="J376" s="82"/>
      <c r="K376" s="82"/>
      <c r="L376" s="82"/>
      <c r="M376" s="82"/>
    </row>
    <row r="377" spans="1:13" x14ac:dyDescent="0.25">
      <c r="A377" s="84">
        <v>217</v>
      </c>
      <c r="B377" s="85" t="s">
        <v>427</v>
      </c>
      <c r="C377" s="125" t="str">
        <f>IF(ISNUMBER(A377),IF(ISERROR(MATCH(A377,Programa!#REF!,0)),"Nunca",(INDEX(Programa!$A:$A,12)-D377)/7&amp;" semanas"),"")</f>
        <v>Nunca</v>
      </c>
      <c r="D377" s="121" t="str">
        <f ca="1">IF(ISNUMBER(A377),IF(ISERROR(MATCH(A377,Programa!#REF!,0)),"",INDIRECT(ADDRESS(12+MATCH(A377,Programa!#REF!,0)-MOD(12+MATCH(A377,Programa!#REF!,0),12),1,,,"Programa"))),"")</f>
        <v/>
      </c>
      <c r="E377" s="81"/>
      <c r="F377" s="81"/>
      <c r="G377" s="82"/>
      <c r="H377" s="82"/>
      <c r="I377" s="82"/>
      <c r="J377" s="82"/>
      <c r="K377" s="82"/>
      <c r="L377" s="82"/>
      <c r="M377" s="82"/>
    </row>
    <row r="378" spans="1:13" x14ac:dyDescent="0.25">
      <c r="A378" s="84">
        <v>218</v>
      </c>
      <c r="B378" s="85" t="s">
        <v>428</v>
      </c>
      <c r="C378" s="125" t="str">
        <f>IF(ISNUMBER(A378),IF(ISERROR(MATCH(A378,Programa!#REF!,0)),"Nunca",(INDEX(Programa!$A:$A,12)-D378)/7&amp;" semanas"),"")</f>
        <v>Nunca</v>
      </c>
      <c r="D378" s="121" t="str">
        <f ca="1">IF(ISNUMBER(A378),IF(ISERROR(MATCH(A378,Programa!#REF!,0)),"",INDIRECT(ADDRESS(12+MATCH(A378,Programa!#REF!,0)-MOD(12+MATCH(A378,Programa!#REF!,0),12),1,,,"Programa"))),"")</f>
        <v/>
      </c>
      <c r="E378" s="81"/>
      <c r="F378" s="81"/>
      <c r="G378" s="82"/>
      <c r="H378" s="82"/>
      <c r="I378" s="82"/>
      <c r="J378" s="82"/>
      <c r="K378" s="82"/>
      <c r="L378" s="82"/>
      <c r="M378" s="82"/>
    </row>
    <row r="379" spans="1:13" x14ac:dyDescent="0.25">
      <c r="A379" s="84">
        <v>218</v>
      </c>
      <c r="B379" s="85" t="s">
        <v>429</v>
      </c>
      <c r="C379" s="125" t="str">
        <f>IF(ISNUMBER(A379),IF(ISERROR(MATCH(A379,Programa!#REF!,0)),"Nunca",(INDEX(Programa!$A:$A,12)-D379)/7&amp;" semanas"),"")</f>
        <v>Nunca</v>
      </c>
      <c r="D379" s="121" t="str">
        <f ca="1">IF(ISNUMBER(A379),IF(ISERROR(MATCH(A379,Programa!#REF!,0)),"",INDIRECT(ADDRESS(12+MATCH(A379,Programa!#REF!,0)-MOD(12+MATCH(A379,Programa!#REF!,0),12),1,,,"Programa"))),"")</f>
        <v/>
      </c>
      <c r="E379" s="81"/>
      <c r="F379" s="81"/>
      <c r="G379" s="82"/>
      <c r="H379" s="82"/>
      <c r="I379" s="82"/>
      <c r="J379" s="82"/>
      <c r="K379" s="82"/>
      <c r="L379" s="82"/>
      <c r="M379" s="82"/>
    </row>
    <row r="380" spans="1:13" x14ac:dyDescent="0.25">
      <c r="A380" s="84">
        <v>219</v>
      </c>
      <c r="B380" s="85" t="s">
        <v>430</v>
      </c>
      <c r="C380" s="125" t="str">
        <f>IF(ISNUMBER(A380),IF(ISERROR(MATCH(A380,Programa!#REF!,0)),"Nunca",(INDEX(Programa!$A:$A,12)-D380)/7&amp;" semanas"),"")</f>
        <v>Nunca</v>
      </c>
      <c r="D380" s="121" t="str">
        <f ca="1">IF(ISNUMBER(A380),IF(ISERROR(MATCH(A380,Programa!#REF!,0)),"",INDIRECT(ADDRESS(12+MATCH(A380,Programa!#REF!,0)-MOD(12+MATCH(A380,Programa!#REF!,0),12),1,,,"Programa"))),"")</f>
        <v/>
      </c>
      <c r="E380" s="81"/>
      <c r="F380" s="81"/>
      <c r="G380" s="82"/>
      <c r="H380" s="82"/>
      <c r="I380" s="82"/>
      <c r="J380" s="82"/>
      <c r="K380" s="82"/>
      <c r="L380" s="82"/>
      <c r="M380" s="82"/>
    </row>
    <row r="381" spans="1:13" x14ac:dyDescent="0.25">
      <c r="A381" s="84">
        <v>219</v>
      </c>
      <c r="B381" s="85" t="s">
        <v>431</v>
      </c>
      <c r="C381" s="125" t="str">
        <f>IF(ISNUMBER(A381),IF(ISERROR(MATCH(A381,Programa!#REF!,0)),"Nunca",(INDEX(Programa!$A:$A,12)-D381)/7&amp;" semanas"),"")</f>
        <v>Nunca</v>
      </c>
      <c r="D381" s="121" t="str">
        <f ca="1">IF(ISNUMBER(A381),IF(ISERROR(MATCH(A381,Programa!#REF!,0)),"",INDIRECT(ADDRESS(12+MATCH(A381,Programa!#REF!,0)-MOD(12+MATCH(A381,Programa!#REF!,0),12),1,,,"Programa"))),"")</f>
        <v/>
      </c>
      <c r="E381" s="81"/>
      <c r="F381" s="81"/>
      <c r="G381" s="82"/>
      <c r="H381" s="82"/>
      <c r="I381" s="82"/>
      <c r="J381" s="82"/>
      <c r="K381" s="82"/>
      <c r="L381" s="82"/>
      <c r="M381" s="82"/>
    </row>
    <row r="382" spans="1:13" x14ac:dyDescent="0.25">
      <c r="A382" s="84">
        <v>220</v>
      </c>
      <c r="B382" s="85" t="s">
        <v>432</v>
      </c>
      <c r="C382" s="125" t="str">
        <f>IF(ISNUMBER(A382),IF(ISERROR(MATCH(A382,Programa!#REF!,0)),"Nunca",(INDEX(Programa!$A:$A,12)-D382)/7&amp;" semanas"),"")</f>
        <v>Nunca</v>
      </c>
      <c r="D382" s="121" t="str">
        <f ca="1">IF(ISNUMBER(A382),IF(ISERROR(MATCH(A382,Programa!#REF!,0)),"",INDIRECT(ADDRESS(12+MATCH(A382,Programa!#REF!,0)-MOD(12+MATCH(A382,Programa!#REF!,0),12),1,,,"Programa"))),"")</f>
        <v/>
      </c>
      <c r="E382" s="81"/>
      <c r="F382" s="81"/>
      <c r="G382" s="82"/>
      <c r="H382" s="82"/>
      <c r="I382" s="82"/>
      <c r="J382" s="82"/>
      <c r="K382" s="82"/>
      <c r="L382" s="82"/>
      <c r="M382" s="82"/>
    </row>
    <row r="383" spans="1:13" x14ac:dyDescent="0.25">
      <c r="A383" s="84">
        <v>220</v>
      </c>
      <c r="B383" s="85" t="s">
        <v>433</v>
      </c>
      <c r="C383" s="125" t="str">
        <f>IF(ISNUMBER(A383),IF(ISERROR(MATCH(A383,Programa!#REF!,0)),"Nunca",(INDEX(Programa!$A:$A,12)-D383)/7&amp;" semanas"),"")</f>
        <v>Nunca</v>
      </c>
      <c r="D383" s="121" t="str">
        <f ca="1">IF(ISNUMBER(A383),IF(ISERROR(MATCH(A383,Programa!#REF!,0)),"",INDIRECT(ADDRESS(12+MATCH(A383,Programa!#REF!,0)-MOD(12+MATCH(A383,Programa!#REF!,0),12),1,,,"Programa"))),"")</f>
        <v/>
      </c>
      <c r="E383" s="81"/>
      <c r="F383" s="81"/>
      <c r="G383" s="82"/>
      <c r="H383" s="82"/>
      <c r="I383" s="82"/>
      <c r="J383" s="82"/>
      <c r="K383" s="82"/>
      <c r="L383" s="82"/>
      <c r="M383" s="82"/>
    </row>
    <row r="384" spans="1:13" x14ac:dyDescent="0.25">
      <c r="A384" s="84">
        <v>221</v>
      </c>
      <c r="B384" s="85" t="s">
        <v>434</v>
      </c>
      <c r="C384" s="125" t="str">
        <f>IF(ISNUMBER(A384),IF(ISERROR(MATCH(A384,Programa!#REF!,0)),"Nunca",(INDEX(Programa!$A:$A,12)-D384)/7&amp;" semanas"),"")</f>
        <v>Nunca</v>
      </c>
      <c r="D384" s="121" t="str">
        <f ca="1">IF(ISNUMBER(A384),IF(ISERROR(MATCH(A384,Programa!#REF!,0)),"",INDIRECT(ADDRESS(12+MATCH(A384,Programa!#REF!,0)-MOD(12+MATCH(A384,Programa!#REF!,0),12),1,,,"Programa"))),"")</f>
        <v/>
      </c>
      <c r="E384" s="81"/>
      <c r="F384" s="81"/>
      <c r="G384" s="82"/>
      <c r="H384" s="82"/>
      <c r="I384" s="82"/>
      <c r="J384" s="82"/>
      <c r="K384" s="82"/>
      <c r="L384" s="82"/>
      <c r="M384" s="82"/>
    </row>
    <row r="385" spans="1:13" x14ac:dyDescent="0.25">
      <c r="A385" s="84">
        <v>221</v>
      </c>
      <c r="B385" s="85" t="s">
        <v>435</v>
      </c>
      <c r="C385" s="125" t="str">
        <f>IF(ISNUMBER(A385),IF(ISERROR(MATCH(A385,Programa!#REF!,0)),"Nunca",(INDEX(Programa!$A:$A,12)-D385)/7&amp;" semanas"),"")</f>
        <v>Nunca</v>
      </c>
      <c r="D385" s="121" t="str">
        <f ca="1">IF(ISNUMBER(A385),IF(ISERROR(MATCH(A385,Programa!#REF!,0)),"",INDIRECT(ADDRESS(12+MATCH(A385,Programa!#REF!,0)-MOD(12+MATCH(A385,Programa!#REF!,0),12),1,,,"Programa"))),"")</f>
        <v/>
      </c>
      <c r="E385" s="81"/>
      <c r="F385" s="81"/>
      <c r="G385" s="82"/>
      <c r="H385" s="82"/>
      <c r="I385" s="82"/>
      <c r="J385" s="82"/>
      <c r="K385" s="82"/>
      <c r="L385" s="82"/>
      <c r="M385" s="82"/>
    </row>
    <row r="386" spans="1:13" x14ac:dyDescent="0.25">
      <c r="A386" s="84">
        <v>222</v>
      </c>
      <c r="B386" s="85" t="s">
        <v>436</v>
      </c>
      <c r="C386" s="125" t="str">
        <f>IF(ISNUMBER(A386),IF(ISERROR(MATCH(A386,Programa!#REF!,0)),"Nunca",(INDEX(Programa!$A:$A,12)-D386)/7&amp;" semanas"),"")</f>
        <v>Nunca</v>
      </c>
      <c r="D386" s="121" t="str">
        <f ca="1">IF(ISNUMBER(A386),IF(ISERROR(MATCH(A386,Programa!#REF!,0)),"",INDIRECT(ADDRESS(12+MATCH(A386,Programa!#REF!,0)-MOD(12+MATCH(A386,Programa!#REF!,0),12),1,,,"Programa"))),"")</f>
        <v/>
      </c>
      <c r="E386" s="81"/>
      <c r="F386" s="81"/>
      <c r="G386" s="82"/>
      <c r="H386" s="82"/>
      <c r="I386" s="82"/>
      <c r="J386" s="82"/>
      <c r="K386" s="82"/>
      <c r="L386" s="82"/>
      <c r="M386" s="82"/>
    </row>
    <row r="387" spans="1:13" x14ac:dyDescent="0.25">
      <c r="A387" s="84">
        <v>222</v>
      </c>
      <c r="B387" s="85" t="s">
        <v>437</v>
      </c>
      <c r="C387" s="125" t="str">
        <f>IF(ISNUMBER(A387),IF(ISERROR(MATCH(A387,Programa!#REF!,0)),"Nunca",(INDEX(Programa!$A:$A,12)-D387)/7&amp;" semanas"),"")</f>
        <v>Nunca</v>
      </c>
      <c r="D387" s="121" t="str">
        <f ca="1">IF(ISNUMBER(A387),IF(ISERROR(MATCH(A387,Programa!#REF!,0)),"",INDIRECT(ADDRESS(12+MATCH(A387,Programa!#REF!,0)-MOD(12+MATCH(A387,Programa!#REF!,0),12),1,,,"Programa"))),"")</f>
        <v/>
      </c>
      <c r="E387" s="81"/>
      <c r="F387" s="81"/>
      <c r="G387" s="82"/>
      <c r="H387" s="82"/>
      <c r="I387" s="82"/>
      <c r="J387" s="82"/>
      <c r="K387" s="82"/>
      <c r="L387" s="82"/>
      <c r="M387" s="82"/>
    </row>
    <row r="388" spans="1:13" x14ac:dyDescent="0.25">
      <c r="A388" s="84">
        <v>223</v>
      </c>
      <c r="B388" s="85" t="s">
        <v>438</v>
      </c>
      <c r="C388" s="125" t="str">
        <f>IF(ISNUMBER(A388),IF(ISERROR(MATCH(A388,Programa!#REF!,0)),"Nunca",(INDEX(Programa!$A:$A,12)-D388)/7&amp;" semanas"),"")</f>
        <v>Nunca</v>
      </c>
      <c r="D388" s="121" t="str">
        <f ca="1">IF(ISNUMBER(A388),IF(ISERROR(MATCH(A388,Programa!#REF!,0)),"",INDIRECT(ADDRESS(12+MATCH(A388,Programa!#REF!,0)-MOD(12+MATCH(A388,Programa!#REF!,0),12),1,,,"Programa"))),"")</f>
        <v/>
      </c>
      <c r="E388" s="81"/>
      <c r="F388" s="81"/>
      <c r="G388" s="82"/>
      <c r="H388" s="82"/>
      <c r="I388" s="82"/>
      <c r="J388" s="82"/>
      <c r="K388" s="82"/>
      <c r="L388" s="82"/>
      <c r="M388" s="82"/>
    </row>
    <row r="389" spans="1:13" x14ac:dyDescent="0.25">
      <c r="A389" s="84">
        <v>223</v>
      </c>
      <c r="B389" s="85" t="s">
        <v>439</v>
      </c>
      <c r="C389" s="125" t="str">
        <f>IF(ISNUMBER(A389),IF(ISERROR(MATCH(A389,Programa!#REF!,0)),"Nunca",(INDEX(Programa!$A:$A,12)-D389)/7&amp;" semanas"),"")</f>
        <v>Nunca</v>
      </c>
      <c r="D389" s="121" t="str">
        <f ca="1">IF(ISNUMBER(A389),IF(ISERROR(MATCH(A389,Programa!#REF!,0)),"",INDIRECT(ADDRESS(12+MATCH(A389,Programa!#REF!,0)-MOD(12+MATCH(A389,Programa!#REF!,0),12),1,,,"Programa"))),"")</f>
        <v/>
      </c>
      <c r="E389" s="81"/>
      <c r="F389" s="81"/>
      <c r="G389" s="82"/>
      <c r="H389" s="82"/>
      <c r="I389" s="82"/>
      <c r="J389" s="82"/>
      <c r="K389" s="82"/>
      <c r="L389" s="82"/>
      <c r="M389" s="82"/>
    </row>
    <row r="390" spans="1:13" x14ac:dyDescent="0.25">
      <c r="A390" s="84">
        <v>224</v>
      </c>
      <c r="B390" s="85" t="s">
        <v>440</v>
      </c>
      <c r="C390" s="125" t="str">
        <f>IF(ISNUMBER(A390),IF(ISERROR(MATCH(A390,Programa!#REF!,0)),"Nunca",(INDEX(Programa!$A:$A,12)-D390)/7&amp;" semanas"),"")</f>
        <v>Nunca</v>
      </c>
      <c r="D390" s="121" t="str">
        <f ca="1">IF(ISNUMBER(A390),IF(ISERROR(MATCH(A390,Programa!#REF!,0)),"",INDIRECT(ADDRESS(12+MATCH(A390,Programa!#REF!,0)-MOD(12+MATCH(A390,Programa!#REF!,0),12),1,,,"Programa"))),"")</f>
        <v/>
      </c>
      <c r="E390" s="81"/>
      <c r="F390" s="81"/>
      <c r="G390" s="82"/>
      <c r="H390" s="82"/>
      <c r="I390" s="82"/>
      <c r="J390" s="82"/>
      <c r="K390" s="82"/>
      <c r="L390" s="82"/>
      <c r="M390" s="82"/>
    </row>
    <row r="391" spans="1:13" x14ac:dyDescent="0.25">
      <c r="A391" s="84">
        <v>224</v>
      </c>
      <c r="B391" s="85" t="s">
        <v>441</v>
      </c>
      <c r="C391" s="125" t="str">
        <f>IF(ISNUMBER(A391),IF(ISERROR(MATCH(A391,Programa!#REF!,0)),"Nunca",(INDEX(Programa!$A:$A,12)-D391)/7&amp;" semanas"),"")</f>
        <v>Nunca</v>
      </c>
      <c r="D391" s="121" t="str">
        <f ca="1">IF(ISNUMBER(A391),IF(ISERROR(MATCH(A391,Programa!#REF!,0)),"",INDIRECT(ADDRESS(12+MATCH(A391,Programa!#REF!,0)-MOD(12+MATCH(A391,Programa!#REF!,0),12),1,,,"Programa"))),"")</f>
        <v/>
      </c>
      <c r="E391" s="81"/>
      <c r="F391" s="81"/>
      <c r="G391" s="82"/>
      <c r="H391" s="82"/>
      <c r="I391" s="82"/>
      <c r="J391" s="82"/>
      <c r="K391" s="82"/>
      <c r="L391" s="82"/>
      <c r="M391" s="82"/>
    </row>
    <row r="392" spans="1:13" x14ac:dyDescent="0.25">
      <c r="A392" s="84">
        <v>230</v>
      </c>
      <c r="B392" s="85" t="s">
        <v>442</v>
      </c>
      <c r="C392" s="125" t="str">
        <f>IF(ISNUMBER(A392),IF(ISERROR(MATCH(A392,Programa!#REF!,0)),"Nunca",(INDEX(Programa!$A:$A,12)-D392)/7&amp;" semanas"),"")</f>
        <v>Nunca</v>
      </c>
      <c r="D392" s="121" t="str">
        <f ca="1">IF(ISNUMBER(A392),IF(ISERROR(MATCH(A392,Programa!#REF!,0)),"",INDIRECT(ADDRESS(12+MATCH(A392,Programa!#REF!,0)-MOD(12+MATCH(A392,Programa!#REF!,0),12),1,,,"Programa"))),"")</f>
        <v/>
      </c>
      <c r="E392" s="81"/>
      <c r="F392" s="81"/>
      <c r="G392" s="82"/>
      <c r="H392" s="82"/>
      <c r="I392" s="82"/>
      <c r="J392" s="82"/>
      <c r="K392" s="82"/>
      <c r="L392" s="82"/>
      <c r="M392" s="82"/>
    </row>
    <row r="393" spans="1:13" x14ac:dyDescent="0.25">
      <c r="A393" s="84">
        <v>230</v>
      </c>
      <c r="B393" s="85" t="s">
        <v>443</v>
      </c>
      <c r="C393" s="125" t="str">
        <f>IF(ISNUMBER(A393),IF(ISERROR(MATCH(A393,Programa!#REF!,0)),"Nunca",(INDEX(Programa!$A:$A,12)-D393)/7&amp;" semanas"),"")</f>
        <v>Nunca</v>
      </c>
      <c r="D393" s="121" t="str">
        <f ca="1">IF(ISNUMBER(A393),IF(ISERROR(MATCH(A393,Programa!#REF!,0)),"",INDIRECT(ADDRESS(12+MATCH(A393,Programa!#REF!,0)-MOD(12+MATCH(A393,Programa!#REF!,0),12),1,,,"Programa"))),"")</f>
        <v/>
      </c>
      <c r="E393" s="81"/>
      <c r="F393" s="81"/>
      <c r="G393" s="82"/>
      <c r="H393" s="82"/>
      <c r="I393" s="82"/>
      <c r="J393" s="82"/>
      <c r="K393" s="82"/>
      <c r="L393" s="82"/>
      <c r="M393" s="82"/>
    </row>
    <row r="394" spans="1:13" x14ac:dyDescent="0.25">
      <c r="A394" s="84">
        <v>231</v>
      </c>
      <c r="B394" s="85" t="s">
        <v>444</v>
      </c>
      <c r="C394" s="125" t="str">
        <f>IF(ISNUMBER(A394),IF(ISERROR(MATCH(A394,Programa!#REF!,0)),"Nunca",(INDEX(Programa!$A:$A,12)-D394)/7&amp;" semanas"),"")</f>
        <v>Nunca</v>
      </c>
      <c r="D394" s="121" t="str">
        <f ca="1">IF(ISNUMBER(A394),IF(ISERROR(MATCH(A394,Programa!#REF!,0)),"",INDIRECT(ADDRESS(12+MATCH(A394,Programa!#REF!,0)-MOD(12+MATCH(A394,Programa!#REF!,0),12),1,,,"Programa"))),"")</f>
        <v/>
      </c>
      <c r="E394" s="81"/>
      <c r="F394" s="81"/>
      <c r="G394" s="82"/>
      <c r="H394" s="82"/>
      <c r="I394" s="82"/>
      <c r="J394" s="82"/>
      <c r="K394" s="82"/>
      <c r="L394" s="82"/>
      <c r="M394" s="82"/>
    </row>
    <row r="395" spans="1:13" x14ac:dyDescent="0.25">
      <c r="A395" s="84">
        <v>231</v>
      </c>
      <c r="B395" s="85" t="s">
        <v>445</v>
      </c>
      <c r="C395" s="125" t="str">
        <f>IF(ISNUMBER(A395),IF(ISERROR(MATCH(A395,Programa!#REF!,0)),"Nunca",(INDEX(Programa!$A:$A,12)-D395)/7&amp;" semanas"),"")</f>
        <v>Nunca</v>
      </c>
      <c r="D395" s="121" t="str">
        <f ca="1">IF(ISNUMBER(A395),IF(ISERROR(MATCH(A395,Programa!#REF!,0)),"",INDIRECT(ADDRESS(12+MATCH(A395,Programa!#REF!,0)-MOD(12+MATCH(A395,Programa!#REF!,0),12),1,,,"Programa"))),"")</f>
        <v/>
      </c>
      <c r="E395" s="81"/>
      <c r="F395" s="81"/>
      <c r="G395" s="82"/>
      <c r="H395" s="82"/>
      <c r="I395" s="82"/>
      <c r="J395" s="82"/>
      <c r="K395" s="82"/>
      <c r="L395" s="82"/>
      <c r="M395" s="82"/>
    </row>
    <row r="396" spans="1:13" x14ac:dyDescent="0.25">
      <c r="A396" s="84">
        <v>232</v>
      </c>
      <c r="B396" s="85" t="s">
        <v>446</v>
      </c>
      <c r="C396" s="125" t="str">
        <f>IF(ISNUMBER(A396),IF(ISERROR(MATCH(A396,Programa!#REF!,0)),"Nunca",(INDEX(Programa!$A:$A,12)-D396)/7&amp;" semanas"),"")</f>
        <v>Nunca</v>
      </c>
      <c r="D396" s="121" t="str">
        <f ca="1">IF(ISNUMBER(A396),IF(ISERROR(MATCH(A396,Programa!#REF!,0)),"",INDIRECT(ADDRESS(12+MATCH(A396,Programa!#REF!,0)-MOD(12+MATCH(A396,Programa!#REF!,0),12),1,,,"Programa"))),"")</f>
        <v/>
      </c>
      <c r="E396" s="81"/>
      <c r="F396" s="81"/>
      <c r="G396" s="82"/>
      <c r="H396" s="82"/>
      <c r="I396" s="82"/>
      <c r="J396" s="82"/>
      <c r="K396" s="82"/>
      <c r="L396" s="82"/>
      <c r="M396" s="82"/>
    </row>
    <row r="397" spans="1:13" x14ac:dyDescent="0.25">
      <c r="A397" s="84">
        <v>232</v>
      </c>
      <c r="B397" s="85" t="s">
        <v>447</v>
      </c>
      <c r="C397" s="125" t="str">
        <f>IF(ISNUMBER(A397),IF(ISERROR(MATCH(A397,Programa!#REF!,0)),"Nunca",(INDEX(Programa!$A:$A,12)-D397)/7&amp;" semanas"),"")</f>
        <v>Nunca</v>
      </c>
      <c r="D397" s="121" t="str">
        <f ca="1">IF(ISNUMBER(A397),IF(ISERROR(MATCH(A397,Programa!#REF!,0)),"",INDIRECT(ADDRESS(12+MATCH(A397,Programa!#REF!,0)-MOD(12+MATCH(A397,Programa!#REF!,0),12),1,,,"Programa"))),"")</f>
        <v/>
      </c>
      <c r="E397" s="81"/>
      <c r="F397" s="81"/>
      <c r="G397" s="82"/>
      <c r="H397" s="82"/>
      <c r="I397" s="82"/>
      <c r="J397" s="82"/>
      <c r="K397" s="82"/>
      <c r="L397" s="82"/>
      <c r="M397" s="82"/>
    </row>
    <row r="398" spans="1:13" x14ac:dyDescent="0.25">
      <c r="A398" s="84">
        <v>233</v>
      </c>
      <c r="B398" s="85" t="s">
        <v>448</v>
      </c>
      <c r="C398" s="125" t="str">
        <f>IF(ISNUMBER(A398),IF(ISERROR(MATCH(A398,Programa!#REF!,0)),"Nunca",(INDEX(Programa!$A:$A,12)-D398)/7&amp;" semanas"),"")</f>
        <v>Nunca</v>
      </c>
      <c r="D398" s="121" t="str">
        <f ca="1">IF(ISNUMBER(A398),IF(ISERROR(MATCH(A398,Programa!#REF!,0)),"",INDIRECT(ADDRESS(12+MATCH(A398,Programa!#REF!,0)-MOD(12+MATCH(A398,Programa!#REF!,0),12),1,,,"Programa"))),"")</f>
        <v/>
      </c>
      <c r="E398" s="81"/>
      <c r="F398" s="81"/>
      <c r="G398" s="82"/>
      <c r="H398" s="82"/>
      <c r="I398" s="82"/>
      <c r="J398" s="82"/>
      <c r="K398" s="82"/>
      <c r="L398" s="82"/>
      <c r="M398" s="82"/>
    </row>
    <row r="399" spans="1:13" x14ac:dyDescent="0.25">
      <c r="A399" s="84">
        <v>233</v>
      </c>
      <c r="B399" s="85" t="s">
        <v>449</v>
      </c>
      <c r="C399" s="125" t="str">
        <f>IF(ISNUMBER(A399),IF(ISERROR(MATCH(A399,Programa!#REF!,0)),"Nunca",(INDEX(Programa!$A:$A,12)-D399)/7&amp;" semanas"),"")</f>
        <v>Nunca</v>
      </c>
      <c r="D399" s="121" t="str">
        <f ca="1">IF(ISNUMBER(A399),IF(ISERROR(MATCH(A399,Programa!#REF!,0)),"",INDIRECT(ADDRESS(12+MATCH(A399,Programa!#REF!,0)-MOD(12+MATCH(A399,Programa!#REF!,0),12),1,,,"Programa"))),"")</f>
        <v/>
      </c>
      <c r="E399" s="81"/>
      <c r="F399" s="81"/>
      <c r="G399" s="82"/>
      <c r="H399" s="82"/>
      <c r="I399" s="82"/>
      <c r="J399" s="82"/>
      <c r="K399" s="82"/>
      <c r="L399" s="82"/>
      <c r="M399" s="82"/>
    </row>
    <row r="400" spans="1:13" x14ac:dyDescent="0.25">
      <c r="A400" s="84">
        <v>234</v>
      </c>
      <c r="B400" s="85" t="s">
        <v>450</v>
      </c>
      <c r="C400" s="125" t="str">
        <f>IF(ISNUMBER(A400),IF(ISERROR(MATCH(A400,Programa!#REF!,0)),"Nunca",(INDEX(Programa!$A:$A,12)-D400)/7&amp;" semanas"),"")</f>
        <v>Nunca</v>
      </c>
      <c r="D400" s="121" t="str">
        <f ca="1">IF(ISNUMBER(A400),IF(ISERROR(MATCH(A400,Programa!#REF!,0)),"",INDIRECT(ADDRESS(12+MATCH(A400,Programa!#REF!,0)-MOD(12+MATCH(A400,Programa!#REF!,0),12),1,,,"Programa"))),"")</f>
        <v/>
      </c>
      <c r="E400" s="81"/>
      <c r="F400" s="81"/>
      <c r="G400" s="82"/>
      <c r="H400" s="82"/>
      <c r="I400" s="82"/>
      <c r="J400" s="82"/>
      <c r="K400" s="82"/>
      <c r="L400" s="82"/>
      <c r="M400" s="82"/>
    </row>
    <row r="401" spans="1:13" x14ac:dyDescent="0.25">
      <c r="A401" s="84">
        <v>234</v>
      </c>
      <c r="B401" s="85" t="s">
        <v>451</v>
      </c>
      <c r="C401" s="125" t="str">
        <f>IF(ISNUMBER(A401),IF(ISERROR(MATCH(A401,Programa!#REF!,0)),"Nunca",(INDEX(Programa!$A:$A,12)-D401)/7&amp;" semanas"),"")</f>
        <v>Nunca</v>
      </c>
      <c r="D401" s="121" t="str">
        <f ca="1">IF(ISNUMBER(A401),IF(ISERROR(MATCH(A401,Programa!#REF!,0)),"",INDIRECT(ADDRESS(12+MATCH(A401,Programa!#REF!,0)-MOD(12+MATCH(A401,Programa!#REF!,0),12),1,,,"Programa"))),"")</f>
        <v/>
      </c>
      <c r="E401" s="81"/>
      <c r="F401" s="81"/>
      <c r="G401" s="82"/>
      <c r="H401" s="82"/>
      <c r="I401" s="82"/>
      <c r="J401" s="82"/>
      <c r="K401" s="82"/>
      <c r="L401" s="82"/>
      <c r="M401" s="82"/>
    </row>
    <row r="402" spans="1:13" x14ac:dyDescent="0.25">
      <c r="A402" s="84">
        <v>235</v>
      </c>
      <c r="B402" s="85" t="s">
        <v>452</v>
      </c>
      <c r="C402" s="125" t="str">
        <f>IF(ISNUMBER(A402),IF(ISERROR(MATCH(A402,Programa!#REF!,0)),"Nunca",(INDEX(Programa!$A:$A,12)-D402)/7&amp;" semanas"),"")</f>
        <v>Nunca</v>
      </c>
      <c r="D402" s="121" t="str">
        <f ca="1">IF(ISNUMBER(A402),IF(ISERROR(MATCH(A402,Programa!#REF!,0)),"",INDIRECT(ADDRESS(12+MATCH(A402,Programa!#REF!,0)-MOD(12+MATCH(A402,Programa!#REF!,0),12),1,,,"Programa"))),"")</f>
        <v/>
      </c>
      <c r="E402" s="81"/>
      <c r="F402" s="81"/>
      <c r="G402" s="82"/>
      <c r="H402" s="82"/>
      <c r="I402" s="82"/>
      <c r="J402" s="82"/>
      <c r="K402" s="82"/>
      <c r="L402" s="82"/>
      <c r="M402" s="82"/>
    </row>
    <row r="403" spans="1:13" x14ac:dyDescent="0.25">
      <c r="A403" s="84">
        <v>235</v>
      </c>
      <c r="B403" s="85" t="s">
        <v>453</v>
      </c>
      <c r="C403" s="125" t="str">
        <f>IF(ISNUMBER(A403),IF(ISERROR(MATCH(A403,Programa!#REF!,0)),"Nunca",(INDEX(Programa!$A:$A,12)-D403)/7&amp;" semanas"),"")</f>
        <v>Nunca</v>
      </c>
      <c r="D403" s="121" t="str">
        <f ca="1">IF(ISNUMBER(A403),IF(ISERROR(MATCH(A403,Programa!#REF!,0)),"",INDIRECT(ADDRESS(12+MATCH(A403,Programa!#REF!,0)-MOD(12+MATCH(A403,Programa!#REF!,0),12),1,,,"Programa"))),"")</f>
        <v/>
      </c>
      <c r="E403" s="81"/>
      <c r="F403" s="81"/>
      <c r="G403" s="82"/>
      <c r="H403" s="82"/>
      <c r="I403" s="82"/>
      <c r="J403" s="82"/>
      <c r="K403" s="82"/>
      <c r="L403" s="82"/>
      <c r="M403" s="82"/>
    </row>
    <row r="404" spans="1:13" x14ac:dyDescent="0.25">
      <c r="A404" s="84">
        <v>236</v>
      </c>
      <c r="B404" s="85" t="s">
        <v>454</v>
      </c>
      <c r="C404" s="125" t="str">
        <f>IF(ISNUMBER(A404),IF(ISERROR(MATCH(A404,Programa!#REF!,0)),"Nunca",(INDEX(Programa!$A:$A,12)-D404)/7&amp;" semanas"),"")</f>
        <v>Nunca</v>
      </c>
      <c r="D404" s="121" t="str">
        <f ca="1">IF(ISNUMBER(A404),IF(ISERROR(MATCH(A404,Programa!#REF!,0)),"",INDIRECT(ADDRESS(12+MATCH(A404,Programa!#REF!,0)-MOD(12+MATCH(A404,Programa!#REF!,0),12),1,,,"Programa"))),"")</f>
        <v/>
      </c>
      <c r="E404" s="81"/>
      <c r="F404" s="81"/>
      <c r="G404" s="82"/>
      <c r="H404" s="82"/>
      <c r="I404" s="82"/>
      <c r="J404" s="82"/>
      <c r="K404" s="82"/>
      <c r="L404" s="82"/>
      <c r="M404" s="82"/>
    </row>
    <row r="405" spans="1:13" x14ac:dyDescent="0.25">
      <c r="A405" s="84">
        <v>236</v>
      </c>
      <c r="B405" s="85" t="s">
        <v>455</v>
      </c>
      <c r="C405" s="125" t="str">
        <f>IF(ISNUMBER(A405),IF(ISERROR(MATCH(A405,Programa!#REF!,0)),"Nunca",(INDEX(Programa!$A:$A,12)-D405)/7&amp;" semanas"),"")</f>
        <v>Nunca</v>
      </c>
      <c r="D405" s="121" t="str">
        <f ca="1">IF(ISNUMBER(A405),IF(ISERROR(MATCH(A405,Programa!#REF!,0)),"",INDIRECT(ADDRESS(12+MATCH(A405,Programa!#REF!,0)-MOD(12+MATCH(A405,Programa!#REF!,0),12),1,,,"Programa"))),"")</f>
        <v/>
      </c>
      <c r="E405" s="81"/>
      <c r="F405" s="81"/>
      <c r="G405" s="82"/>
      <c r="H405" s="82"/>
      <c r="I405" s="82"/>
      <c r="J405" s="82"/>
      <c r="K405" s="82"/>
      <c r="L405" s="82"/>
      <c r="M405" s="82"/>
    </row>
    <row r="406" spans="1:13" x14ac:dyDescent="0.25">
      <c r="A406" s="84"/>
      <c r="B406" s="85"/>
      <c r="C406" s="125" t="str">
        <f>IF(ISNUMBER(A406),IF(ISERROR(MATCH(A406,Programa!#REF!,0)),"Nunca",(INDEX(Programa!$A:$A,12)-D406)/7&amp;" semanas"),"")</f>
        <v/>
      </c>
      <c r="D406" s="121" t="str">
        <f ca="1">IF(ISNUMBER(A406),IF(ISERROR(MATCH(A406,Programa!#REF!,0)),"",INDIRECT(ADDRESS(12+MATCH(A406,Programa!#REF!,0)-MOD(12+MATCH(A406,Programa!#REF!,0),12),1,,,"Programa"))),"")</f>
        <v/>
      </c>
      <c r="E406" s="81"/>
      <c r="F406" s="81"/>
      <c r="G406" s="82"/>
      <c r="H406" s="82"/>
      <c r="I406" s="82"/>
      <c r="J406" s="82"/>
      <c r="K406" s="82"/>
      <c r="L406" s="82"/>
      <c r="M406" s="82"/>
    </row>
    <row r="407" spans="1:13" x14ac:dyDescent="0.25">
      <c r="A407" s="84"/>
      <c r="B407" s="85"/>
      <c r="C407" s="125" t="str">
        <f>IF(ISNUMBER(A407),IF(ISERROR(MATCH(A407,Programa!#REF!,0)),"Nunca",(INDEX(Programa!$A:$A,12)-D407)/7&amp;" semanas"),"")</f>
        <v/>
      </c>
      <c r="D407" s="121" t="str">
        <f ca="1">IF(ISNUMBER(A407),IF(ISERROR(MATCH(A407,Programa!#REF!,0)),"",INDIRECT(ADDRESS(12+MATCH(A407,Programa!#REF!,0)-MOD(12+MATCH(A407,Programa!#REF!,0),12),1,,,"Programa"))),"")</f>
        <v/>
      </c>
      <c r="E407" s="81"/>
      <c r="F407" s="81"/>
      <c r="G407" s="82"/>
      <c r="H407" s="82"/>
      <c r="I407" s="82"/>
      <c r="J407" s="82"/>
      <c r="K407" s="82"/>
      <c r="L407" s="82"/>
      <c r="M407" s="82"/>
    </row>
    <row r="408" spans="1:13" x14ac:dyDescent="0.25">
      <c r="A408" s="84"/>
      <c r="B408" s="85"/>
      <c r="C408" s="125" t="str">
        <f>IF(ISNUMBER(A408),IF(ISERROR(MATCH(A408,Programa!#REF!,0)),"Nunca",(INDEX(Programa!$A:$A,12)-D408)/7&amp;" semanas"),"")</f>
        <v/>
      </c>
      <c r="D408" s="121" t="str">
        <f ca="1">IF(ISNUMBER(A408),IF(ISERROR(MATCH(A408,Programa!#REF!,0)),"",INDIRECT(ADDRESS(12+MATCH(A408,Programa!#REF!,0)-MOD(12+MATCH(A408,Programa!#REF!,0),12),1,,,"Programa"))),"")</f>
        <v/>
      </c>
      <c r="E408" s="81"/>
      <c r="F408" s="81"/>
      <c r="G408" s="82"/>
      <c r="H408" s="82"/>
      <c r="I408" s="82"/>
      <c r="J408" s="82"/>
      <c r="K408" s="82"/>
      <c r="L408" s="82"/>
      <c r="M408" s="82"/>
    </row>
    <row r="409" spans="1:13" x14ac:dyDescent="0.25">
      <c r="A409" s="84"/>
      <c r="B409" s="85"/>
      <c r="C409" s="125" t="str">
        <f>IF(ISNUMBER(A409),IF(ISERROR(MATCH(A409,Programa!#REF!,0)),"Nunca",(INDEX(Programa!$A:$A,12)-D409)/7&amp;" semanas"),"")</f>
        <v/>
      </c>
      <c r="D409" s="121" t="str">
        <f ca="1">IF(ISNUMBER(A409),IF(ISERROR(MATCH(A409,Programa!#REF!,0)),"",INDIRECT(ADDRESS(12+MATCH(A409,Programa!#REF!,0)-MOD(12+MATCH(A409,Programa!#REF!,0),12),1,,,"Programa"))),"")</f>
        <v/>
      </c>
      <c r="E409" s="81"/>
      <c r="F409" s="81"/>
      <c r="G409" s="82"/>
      <c r="H409" s="82"/>
      <c r="I409" s="82"/>
      <c r="J409" s="82"/>
      <c r="K409" s="82"/>
      <c r="L409" s="82"/>
      <c r="M409" s="82"/>
    </row>
    <row r="410" spans="1:13" x14ac:dyDescent="0.25">
      <c r="A410" s="84"/>
      <c r="B410" s="85"/>
      <c r="C410" s="125" t="str">
        <f>IF(ISNUMBER(A410),IF(ISERROR(MATCH(A410,Programa!#REF!,0)),"Nunca",(INDEX(Programa!$A:$A,12)-D410)/7&amp;" semanas"),"")</f>
        <v/>
      </c>
      <c r="D410" s="121" t="str">
        <f ca="1">IF(ISNUMBER(A410),IF(ISERROR(MATCH(A410,Programa!#REF!,0)),"",INDIRECT(ADDRESS(12+MATCH(A410,Programa!#REF!,0)-MOD(12+MATCH(A410,Programa!#REF!,0),12),1,,,"Programa"))),"")</f>
        <v/>
      </c>
      <c r="E410" s="81"/>
      <c r="F410" s="81"/>
      <c r="G410" s="82"/>
      <c r="H410" s="82"/>
      <c r="I410" s="82"/>
      <c r="J410" s="82"/>
      <c r="K410" s="82"/>
      <c r="L410" s="82"/>
      <c r="M410" s="82"/>
    </row>
    <row r="411" spans="1:13" x14ac:dyDescent="0.25">
      <c r="A411" s="84"/>
      <c r="B411" s="85"/>
      <c r="C411" s="125" t="str">
        <f>IF(ISNUMBER(A411),IF(ISERROR(MATCH(A411,Programa!#REF!,0)),"Nunca",(INDEX(Programa!$A:$A,12)-D411)/7&amp;" semanas"),"")</f>
        <v/>
      </c>
      <c r="D411" s="121" t="str">
        <f ca="1">IF(ISNUMBER(A411),IF(ISERROR(MATCH(A411,Programa!#REF!,0)),"",INDIRECT(ADDRESS(12+MATCH(A411,Programa!#REF!,0)-MOD(12+MATCH(A411,Programa!#REF!,0),12),1,,,"Programa"))),"")</f>
        <v/>
      </c>
      <c r="E411" s="81"/>
      <c r="F411" s="81"/>
      <c r="G411" s="82"/>
      <c r="H411" s="82"/>
      <c r="I411" s="82"/>
      <c r="J411" s="82"/>
      <c r="K411" s="82"/>
      <c r="L411" s="82"/>
      <c r="M411" s="82"/>
    </row>
    <row r="412" spans="1:13" x14ac:dyDescent="0.25">
      <c r="A412" s="84"/>
      <c r="B412" s="85"/>
      <c r="C412" s="125" t="str">
        <f>IF(ISNUMBER(A412),IF(ISERROR(MATCH(A412,Programa!#REF!,0)),"Nunca",(INDEX(Programa!$A:$A,12)-D412)/7&amp;" semanas"),"")</f>
        <v/>
      </c>
      <c r="D412" s="121" t="str">
        <f ca="1">IF(ISNUMBER(A412),IF(ISERROR(MATCH(A412,Programa!#REF!,0)),"",INDIRECT(ADDRESS(12+MATCH(A412,Programa!#REF!,0)-MOD(12+MATCH(A412,Programa!#REF!,0),12),1,,,"Programa"))),"")</f>
        <v/>
      </c>
      <c r="E412" s="81"/>
      <c r="F412" s="81"/>
      <c r="G412" s="82"/>
      <c r="H412" s="82"/>
      <c r="I412" s="82"/>
      <c r="J412" s="82"/>
      <c r="K412" s="82"/>
      <c r="L412" s="82"/>
      <c r="M412" s="82"/>
    </row>
    <row r="413" spans="1:13" x14ac:dyDescent="0.25">
      <c r="A413" s="84"/>
      <c r="B413" s="85"/>
      <c r="C413" s="125" t="str">
        <f>IF(ISNUMBER(A413),IF(ISERROR(MATCH(A413,Programa!#REF!,0)),"Nunca",(INDEX(Programa!$A:$A,12)-D413)/7&amp;" semanas"),"")</f>
        <v/>
      </c>
      <c r="D413" s="121" t="str">
        <f ca="1">IF(ISNUMBER(A413),IF(ISERROR(MATCH(A413,Programa!#REF!,0)),"",INDIRECT(ADDRESS(12+MATCH(A413,Programa!#REF!,0)-MOD(12+MATCH(A413,Programa!#REF!,0),12),1,,,"Programa"))),"")</f>
        <v/>
      </c>
      <c r="E413" s="81"/>
      <c r="F413" s="81"/>
      <c r="G413" s="82"/>
      <c r="H413" s="82"/>
      <c r="I413" s="82"/>
      <c r="J413" s="82"/>
      <c r="K413" s="82"/>
      <c r="L413" s="82"/>
      <c r="M413" s="82"/>
    </row>
    <row r="414" spans="1:13" x14ac:dyDescent="0.25">
      <c r="A414" s="84"/>
      <c r="B414" s="85"/>
      <c r="C414" s="125" t="str">
        <f>IF(ISNUMBER(A414),IF(ISERROR(MATCH(A414,Programa!#REF!,0)),"Nunca",(INDEX(Programa!$A:$A,12)-D414)/7&amp;" semanas"),"")</f>
        <v/>
      </c>
      <c r="D414" s="121" t="str">
        <f ca="1">IF(ISNUMBER(A414),IF(ISERROR(MATCH(A414,Programa!#REF!,0)),"",INDIRECT(ADDRESS(12+MATCH(A414,Programa!#REF!,0)-MOD(12+MATCH(A414,Programa!#REF!,0),12),1,,,"Programa"))),"")</f>
        <v/>
      </c>
      <c r="E414" s="81"/>
      <c r="F414" s="81"/>
      <c r="G414" s="82"/>
      <c r="H414" s="82"/>
      <c r="I414" s="82"/>
      <c r="J414" s="82"/>
      <c r="K414" s="82"/>
      <c r="L414" s="82"/>
      <c r="M414" s="82"/>
    </row>
    <row r="415" spans="1:13" x14ac:dyDescent="0.25">
      <c r="A415" s="84"/>
      <c r="B415" s="85"/>
      <c r="C415" s="125" t="str">
        <f>IF(ISNUMBER(A415),IF(ISERROR(MATCH(A415,Programa!#REF!,0)),"Nunca",(INDEX(Programa!$A:$A,12)-D415)/7&amp;" semanas"),"")</f>
        <v/>
      </c>
      <c r="D415" s="121" t="str">
        <f ca="1">IF(ISNUMBER(A415),IF(ISERROR(MATCH(A415,Programa!#REF!,0)),"",INDIRECT(ADDRESS(12+MATCH(A415,Programa!#REF!,0)-MOD(12+MATCH(A415,Programa!#REF!,0),12),1,,,"Programa"))),"")</f>
        <v/>
      </c>
      <c r="E415" s="81"/>
      <c r="F415" s="81"/>
      <c r="G415" s="82"/>
      <c r="H415" s="82"/>
      <c r="I415" s="82"/>
      <c r="J415" s="82"/>
      <c r="K415" s="82"/>
      <c r="L415" s="82"/>
      <c r="M415" s="82"/>
    </row>
    <row r="416" spans="1:13" x14ac:dyDescent="0.25">
      <c r="A416" s="108"/>
      <c r="B416" s="109"/>
      <c r="C416" s="125" t="str">
        <f>IF(ISNUMBER(A416),IF(ISERROR(MATCH(A416,Programa!#REF!,0)),"Nunca",(INDEX(Programa!$A:$A,12)-D416)/7&amp;" semanas"),"")</f>
        <v/>
      </c>
      <c r="D416" s="121" t="str">
        <f ca="1">IF(ISNUMBER(A416),IF(ISERROR(MATCH(A416,Programa!#REF!,0)),"",INDIRECT(ADDRESS(12+MATCH(A416,Programa!#REF!,0)-MOD(12+MATCH(A416,Programa!#REF!,0),12),1,,,"Programa"))),"")</f>
        <v/>
      </c>
      <c r="E416" s="110"/>
      <c r="F416" s="81"/>
      <c r="G416" s="82"/>
      <c r="H416" s="82"/>
      <c r="I416" s="82"/>
      <c r="J416" s="82"/>
      <c r="K416" s="82"/>
      <c r="L416" s="82"/>
      <c r="M416" s="82"/>
    </row>
    <row r="417" spans="1:13" x14ac:dyDescent="0.25">
      <c r="A417" s="108"/>
      <c r="B417" s="109"/>
      <c r="C417" s="125" t="str">
        <f>IF(ISNUMBER(A417),IF(ISERROR(MATCH(A417,Programa!#REF!,0)),"Nunca",(INDEX(Programa!$A:$A,12)-D417)/7&amp;" semanas"),"")</f>
        <v/>
      </c>
      <c r="D417" s="121" t="str">
        <f ca="1">IF(ISNUMBER(A417),IF(ISERROR(MATCH(A417,Programa!#REF!,0)),"",INDIRECT(ADDRESS(12+MATCH(A417,Programa!#REF!,0)-MOD(12+MATCH(A417,Programa!#REF!,0),12),1,,,"Programa"))),"")</f>
        <v/>
      </c>
      <c r="E417" s="110"/>
      <c r="F417" s="81"/>
      <c r="G417" s="82"/>
      <c r="H417" s="82"/>
      <c r="I417" s="82"/>
      <c r="J417" s="82"/>
      <c r="K417" s="82"/>
      <c r="L417" s="82"/>
      <c r="M417" s="82"/>
    </row>
    <row r="418" spans="1:13" x14ac:dyDescent="0.25">
      <c r="A418" s="108"/>
      <c r="B418" s="109"/>
      <c r="C418" s="125" t="str">
        <f>IF(ISNUMBER(A418),IF(ISERROR(MATCH(A418,Programa!#REF!,0)),"Nunca",(INDEX(Programa!$A:$A,12)-D418)/7&amp;" semanas"),"")</f>
        <v/>
      </c>
      <c r="D418" s="121" t="str">
        <f ca="1">IF(ISNUMBER(A418),IF(ISERROR(MATCH(A418,Programa!#REF!,0)),"",INDIRECT(ADDRESS(12+MATCH(A418,Programa!#REF!,0)-MOD(12+MATCH(A418,Programa!#REF!,0),12),1,,,"Programa"))),"")</f>
        <v/>
      </c>
      <c r="E418" s="81"/>
      <c r="F418" s="81"/>
      <c r="G418" s="82"/>
      <c r="H418" s="82"/>
      <c r="I418" s="82"/>
      <c r="J418" s="82"/>
      <c r="K418" s="82"/>
      <c r="L418" s="82"/>
      <c r="M418" s="82"/>
    </row>
    <row r="419" spans="1:13" x14ac:dyDescent="0.25">
      <c r="A419" s="108"/>
      <c r="B419" s="109"/>
      <c r="C419" s="125" t="str">
        <f>IF(ISNUMBER(A419),IF(ISERROR(MATCH(A419,Programa!#REF!,0)),"Nunca",(INDEX(Programa!$A:$A,12)-D419)/7&amp;" semanas"),"")</f>
        <v/>
      </c>
      <c r="D419" s="121" t="str">
        <f ca="1">IF(ISNUMBER(A419),IF(ISERROR(MATCH(A419,Programa!#REF!,0)),"",INDIRECT(ADDRESS(12+MATCH(A419,Programa!#REF!,0)-MOD(12+MATCH(A419,Programa!#REF!,0),12),1,,,"Programa"))),"")</f>
        <v/>
      </c>
      <c r="E419" s="81"/>
      <c r="F419" s="81"/>
      <c r="G419" s="82"/>
      <c r="H419" s="82"/>
      <c r="I419" s="82"/>
      <c r="J419" s="82"/>
      <c r="K419" s="82"/>
      <c r="L419" s="82"/>
      <c r="M419" s="82"/>
    </row>
    <row r="420" spans="1:13" x14ac:dyDescent="0.25">
      <c r="A420" s="108"/>
      <c r="B420" s="109"/>
      <c r="C420" s="125" t="str">
        <f>IF(ISNUMBER(A420),IF(ISERROR(MATCH(A420,Programa!#REF!,0)),"Nunca",(INDEX(Programa!$A:$A,12)-D420)/7&amp;" semanas"),"")</f>
        <v/>
      </c>
      <c r="D420" s="121" t="str">
        <f ca="1">IF(ISNUMBER(A420),IF(ISERROR(MATCH(A420,Programa!#REF!,0)),"",INDIRECT(ADDRESS(12+MATCH(A420,Programa!#REF!,0)-MOD(12+MATCH(A420,Programa!#REF!,0),12),1,,,"Programa"))),"")</f>
        <v/>
      </c>
      <c r="E420" s="81"/>
      <c r="F420" s="81"/>
      <c r="G420" s="82"/>
      <c r="H420" s="82"/>
      <c r="I420" s="82"/>
      <c r="J420" s="82"/>
      <c r="K420" s="82"/>
      <c r="L420" s="82"/>
      <c r="M420" s="82"/>
    </row>
    <row r="421" spans="1:13" x14ac:dyDescent="0.25">
      <c r="A421" s="108"/>
      <c r="B421" s="109"/>
      <c r="C421" s="125" t="str">
        <f>IF(ISNUMBER(A421),IF(ISERROR(MATCH(A421,Programa!#REF!,0)),"Nunca",(INDEX(Programa!$A:$A,12)-D421)/7&amp;" semanas"),"")</f>
        <v/>
      </c>
      <c r="D421" s="121" t="str">
        <f ca="1">IF(ISNUMBER(A421),IF(ISERROR(MATCH(A421,Programa!#REF!,0)),"",INDIRECT(ADDRESS(12+MATCH(A421,Programa!#REF!,0)-MOD(12+MATCH(A421,Programa!#REF!,0),12),1,,,"Programa"))),"")</f>
        <v/>
      </c>
      <c r="E421" s="81"/>
      <c r="F421" s="81"/>
      <c r="G421" s="82"/>
      <c r="H421" s="82"/>
      <c r="I421" s="82"/>
      <c r="J421" s="82"/>
      <c r="K421" s="82"/>
      <c r="L421" s="82"/>
      <c r="M421" s="82"/>
    </row>
    <row r="422" spans="1:13" x14ac:dyDescent="0.25">
      <c r="A422" s="108"/>
      <c r="B422" s="109"/>
      <c r="C422" s="125" t="str">
        <f>IF(ISNUMBER(A422),IF(ISERROR(MATCH(A422,Programa!#REF!,0)),"Nunca",(INDEX(Programa!$A:$A,12)-D422)/7&amp;" semanas"),"")</f>
        <v/>
      </c>
      <c r="D422" s="121" t="str">
        <f ca="1">IF(ISNUMBER(A422),IF(ISERROR(MATCH(A422,Programa!#REF!,0)),"",INDIRECT(ADDRESS(12+MATCH(A422,Programa!#REF!,0)-MOD(12+MATCH(A422,Programa!#REF!,0),12),1,,,"Programa"))),"")</f>
        <v/>
      </c>
      <c r="E422" s="81"/>
      <c r="F422" s="81"/>
      <c r="G422" s="82"/>
      <c r="H422" s="82"/>
      <c r="I422" s="82"/>
      <c r="J422" s="82"/>
      <c r="K422" s="82"/>
      <c r="L422" s="82"/>
      <c r="M422" s="82"/>
    </row>
    <row r="423" spans="1:13" x14ac:dyDescent="0.25">
      <c r="A423" s="108"/>
      <c r="B423" s="109"/>
      <c r="C423" s="125" t="str">
        <f>IF(ISNUMBER(A423),IF(ISERROR(MATCH(A423,Programa!#REF!,0)),"Nunca",(INDEX(Programa!$A:$A,12)-D423)/7&amp;" semanas"),"")</f>
        <v/>
      </c>
      <c r="D423" s="121" t="str">
        <f ca="1">IF(ISNUMBER(A423),IF(ISERROR(MATCH(A423,Programa!#REF!,0)),"",INDIRECT(ADDRESS(12+MATCH(A423,Programa!#REF!,0)-MOD(12+MATCH(A423,Programa!#REF!,0),12),1,,,"Programa"))),"")</f>
        <v/>
      </c>
      <c r="E423" s="81"/>
      <c r="F423" s="81"/>
      <c r="G423" s="82"/>
      <c r="H423" s="82"/>
      <c r="I423" s="82"/>
      <c r="J423" s="82"/>
      <c r="K423" s="82"/>
      <c r="L423" s="82"/>
      <c r="M423" s="82"/>
    </row>
    <row r="424" spans="1:13" x14ac:dyDescent="0.25">
      <c r="A424" s="108"/>
      <c r="B424" s="109"/>
      <c r="C424" s="125" t="str">
        <f>IF(ISNUMBER(A424),IF(ISERROR(MATCH(A424,Programa!#REF!,0)),"Nunca",(INDEX(Programa!$A:$A,12)-D424)/7&amp;" semanas"),"")</f>
        <v/>
      </c>
      <c r="D424" s="121" t="str">
        <f ca="1">IF(ISNUMBER(A424),IF(ISERROR(MATCH(A424,Programa!#REF!,0)),"",INDIRECT(ADDRESS(12+MATCH(A424,Programa!#REF!,0)-MOD(12+MATCH(A424,Programa!#REF!,0),12),1,,,"Programa"))),"")</f>
        <v/>
      </c>
      <c r="E424" s="81"/>
      <c r="F424" s="81"/>
      <c r="G424" s="82"/>
      <c r="H424" s="82"/>
      <c r="I424" s="82"/>
      <c r="J424" s="82"/>
      <c r="K424" s="82"/>
      <c r="L424" s="82"/>
      <c r="M424" s="82"/>
    </row>
    <row r="425" spans="1:13" x14ac:dyDescent="0.25">
      <c r="A425" s="108"/>
      <c r="B425" s="109"/>
      <c r="C425" s="125" t="str">
        <f>IF(ISNUMBER(A425),IF(ISERROR(MATCH(A425,Programa!#REF!,0)),"Nunca",(INDEX(Programa!$A:$A,12)-D425)/7&amp;" semanas"),"")</f>
        <v/>
      </c>
      <c r="D425" s="121" t="str">
        <f ca="1">IF(ISNUMBER(A425),IF(ISERROR(MATCH(A425,Programa!#REF!,0)),"",INDIRECT(ADDRESS(12+MATCH(A425,Programa!#REF!,0)-MOD(12+MATCH(A425,Programa!#REF!,0),12),1,,,"Programa"))),"")</f>
        <v/>
      </c>
      <c r="E425" s="81"/>
      <c r="F425" s="81"/>
      <c r="G425" s="82"/>
      <c r="H425" s="82"/>
      <c r="I425" s="82"/>
      <c r="J425" s="82"/>
      <c r="K425" s="82"/>
      <c r="L425" s="82"/>
      <c r="M425" s="82"/>
    </row>
    <row r="426" spans="1:13" x14ac:dyDescent="0.25">
      <c r="A426" s="84"/>
      <c r="B426" s="85"/>
      <c r="C426" s="125" t="str">
        <f>IF(ISNUMBER(A426),IF(ISERROR(MATCH(A426,Programa!#REF!,0)),"Nunca",(INDEX(Programa!$A:$A,12)-D426)/7&amp;" semanas"),"")</f>
        <v/>
      </c>
      <c r="D426" s="121" t="str">
        <f ca="1">IF(ISNUMBER(A426),IF(ISERROR(MATCH(A426,Programa!#REF!,0)),"",INDIRECT(ADDRESS(12+MATCH(A426,Programa!#REF!,0)-MOD(12+MATCH(A426,Programa!#REF!,0),12),1,,,"Programa"))),"")</f>
        <v/>
      </c>
      <c r="E426" s="81"/>
      <c r="F426" s="81"/>
      <c r="G426" s="82"/>
      <c r="H426" s="82"/>
      <c r="I426" s="82"/>
      <c r="J426" s="82"/>
      <c r="K426" s="82"/>
      <c r="L426" s="82"/>
      <c r="M426" s="82"/>
    </row>
    <row r="427" spans="1:13" x14ac:dyDescent="0.25">
      <c r="A427" s="84"/>
      <c r="B427" s="85"/>
      <c r="C427" s="125" t="str">
        <f>IF(ISNUMBER(A427),IF(ISERROR(MATCH(A427,Programa!#REF!,0)),"Nunca",(INDEX(Programa!$A:$A,12)-D427)/7&amp;" semanas"),"")</f>
        <v/>
      </c>
      <c r="D427" s="121" t="str">
        <f ca="1">IF(ISNUMBER(A427),IF(ISERROR(MATCH(A427,Programa!#REF!,0)),"",INDIRECT(ADDRESS(12+MATCH(A427,Programa!#REF!,0)-MOD(12+MATCH(A427,Programa!#REF!,0),12),1,,,"Programa"))),"")</f>
        <v/>
      </c>
      <c r="E427" s="81"/>
      <c r="F427" s="81"/>
      <c r="G427" s="82"/>
      <c r="H427" s="82"/>
      <c r="I427" s="82"/>
      <c r="J427" s="82"/>
      <c r="K427" s="82"/>
      <c r="L427" s="82"/>
      <c r="M427" s="82"/>
    </row>
    <row r="428" spans="1:13" x14ac:dyDescent="0.25">
      <c r="A428" s="84"/>
      <c r="B428" s="85"/>
      <c r="C428" s="125" t="str">
        <f>IF(ISNUMBER(A428),IF(ISERROR(MATCH(A428,Programa!#REF!,0)),"Nunca",(INDEX(Programa!$A:$A,12)-D428)/7&amp;" semanas"),"")</f>
        <v/>
      </c>
      <c r="D428" s="121" t="str">
        <f ca="1">IF(ISNUMBER(A428),IF(ISERROR(MATCH(A428,Programa!#REF!,0)),"",INDIRECT(ADDRESS(12+MATCH(A428,Programa!#REF!,0)-MOD(12+MATCH(A428,Programa!#REF!,0),12),1,,,"Programa"))),"")</f>
        <v/>
      </c>
      <c r="E428" s="81"/>
      <c r="F428" s="81"/>
      <c r="G428" s="82"/>
      <c r="H428" s="82"/>
      <c r="I428" s="82"/>
      <c r="J428" s="82"/>
      <c r="K428" s="82"/>
      <c r="L428" s="82"/>
      <c r="M428" s="82"/>
    </row>
    <row r="429" spans="1:13" x14ac:dyDescent="0.25">
      <c r="A429" s="84"/>
      <c r="B429" s="85"/>
      <c r="C429" s="125" t="str">
        <f>IF(ISNUMBER(A429),IF(ISERROR(MATCH(A429,Programa!#REF!,0)),"Nunca",(INDEX(Programa!$A:$A,12)-D429)/7&amp;" semanas"),"")</f>
        <v/>
      </c>
      <c r="D429" s="121" t="str">
        <f ca="1">IF(ISNUMBER(A429),IF(ISERROR(MATCH(A429,Programa!#REF!,0)),"",INDIRECT(ADDRESS(12+MATCH(A429,Programa!#REF!,0)-MOD(12+MATCH(A429,Programa!#REF!,0),12),1,,,"Programa"))),"")</f>
        <v/>
      </c>
      <c r="E429" s="81"/>
      <c r="F429" s="81"/>
      <c r="G429" s="82"/>
      <c r="H429" s="82"/>
      <c r="I429" s="82"/>
      <c r="J429" s="82"/>
      <c r="K429" s="82"/>
      <c r="L429" s="82"/>
      <c r="M429" s="82"/>
    </row>
    <row r="430" spans="1:13" x14ac:dyDescent="0.25">
      <c r="A430" s="84"/>
      <c r="B430" s="85"/>
      <c r="C430" s="125" t="str">
        <f>IF(ISNUMBER(A430),IF(ISERROR(MATCH(A430,Programa!#REF!,0)),"Nunca",(INDEX(Programa!$A:$A,12)-D430)/7&amp;" semanas"),"")</f>
        <v/>
      </c>
      <c r="D430" s="121" t="str">
        <f ca="1">IF(ISNUMBER(A430),IF(ISERROR(MATCH(A430,Programa!#REF!,0)),"",INDIRECT(ADDRESS(12+MATCH(A430,Programa!#REF!,0)-MOD(12+MATCH(A430,Programa!#REF!,0),12),1,,,"Programa"))),"")</f>
        <v/>
      </c>
      <c r="E430" s="81"/>
      <c r="F430" s="81"/>
      <c r="G430" s="82"/>
      <c r="H430" s="82"/>
      <c r="I430" s="82"/>
      <c r="J430" s="82"/>
      <c r="K430" s="82"/>
      <c r="L430" s="82"/>
      <c r="M430" s="82"/>
    </row>
    <row r="431" spans="1:13" x14ac:dyDescent="0.25">
      <c r="A431" s="84"/>
      <c r="B431" s="85"/>
      <c r="C431" s="125" t="str">
        <f>IF(ISNUMBER(A431),IF(ISERROR(MATCH(A431,Programa!#REF!,0)),"Nunca",(INDEX(Programa!$A:$A,12)-D431)/7&amp;" semanas"),"")</f>
        <v/>
      </c>
      <c r="D431" s="121" t="str">
        <f ca="1">IF(ISNUMBER(A431),IF(ISERROR(MATCH(A431,Programa!#REF!,0)),"",INDIRECT(ADDRESS(12+MATCH(A431,Programa!#REF!,0)-MOD(12+MATCH(A431,Programa!#REF!,0),12),1,,,"Programa"))),"")</f>
        <v/>
      </c>
      <c r="E431" s="81"/>
      <c r="F431" s="81"/>
      <c r="G431" s="82"/>
      <c r="H431" s="82"/>
      <c r="I431" s="82"/>
      <c r="J431" s="82"/>
      <c r="K431" s="82"/>
      <c r="L431" s="82"/>
      <c r="M431" s="82"/>
    </row>
    <row r="432" spans="1:13" x14ac:dyDescent="0.25">
      <c r="A432" s="84"/>
      <c r="B432" s="85"/>
      <c r="C432" s="125" t="str">
        <f>IF(ISNUMBER(A432),IF(ISERROR(MATCH(A432,Programa!#REF!,0)),"Nunca",(INDEX(Programa!$A:$A,12)-D432)/7&amp;" semanas"),"")</f>
        <v/>
      </c>
      <c r="D432" s="121" t="str">
        <f ca="1">IF(ISNUMBER(A432),IF(ISERROR(MATCH(A432,Programa!#REF!,0)),"",INDIRECT(ADDRESS(12+MATCH(A432,Programa!#REF!,0)-MOD(12+MATCH(A432,Programa!#REF!,0),12),1,,,"Programa"))),"")</f>
        <v/>
      </c>
      <c r="E432" s="81"/>
      <c r="F432" s="81"/>
      <c r="G432" s="82"/>
      <c r="H432" s="82"/>
      <c r="I432" s="82"/>
      <c r="J432" s="82"/>
      <c r="K432" s="82"/>
      <c r="L432" s="82"/>
      <c r="M432" s="82"/>
    </row>
    <row r="433" spans="1:13" x14ac:dyDescent="0.25">
      <c r="A433" s="84"/>
      <c r="B433" s="85"/>
      <c r="C433" s="125" t="str">
        <f>IF(ISNUMBER(A433),IF(ISERROR(MATCH(A433,Programa!#REF!,0)),"Nunca",(INDEX(Programa!$A:$A,12)-D433)/7&amp;" semanas"),"")</f>
        <v/>
      </c>
      <c r="D433" s="121" t="str">
        <f ca="1">IF(ISNUMBER(A433),IF(ISERROR(MATCH(A433,Programa!#REF!,0)),"",INDIRECT(ADDRESS(12+MATCH(A433,Programa!#REF!,0)-MOD(12+MATCH(A433,Programa!#REF!,0),12),1,,,"Programa"))),"")</f>
        <v/>
      </c>
      <c r="E433" s="81"/>
      <c r="F433" s="81"/>
      <c r="G433" s="82"/>
      <c r="H433" s="82"/>
      <c r="I433" s="82"/>
      <c r="J433" s="82"/>
      <c r="K433" s="82"/>
      <c r="L433" s="82"/>
      <c r="M433" s="82"/>
    </row>
    <row r="434" spans="1:13" x14ac:dyDescent="0.25">
      <c r="A434" s="84"/>
      <c r="B434" s="85"/>
      <c r="C434" s="125" t="str">
        <f>IF(ISNUMBER(A434),IF(ISERROR(MATCH(A434,Programa!#REF!,0)),"Nunca",(INDEX(Programa!$A:$A,12)-D434)/7&amp;" semanas"),"")</f>
        <v/>
      </c>
      <c r="D434" s="121" t="str">
        <f ca="1">IF(ISNUMBER(A434),IF(ISERROR(MATCH(A434,Programa!#REF!,0)),"",INDIRECT(ADDRESS(12+MATCH(A434,Programa!#REF!,0)-MOD(12+MATCH(A434,Programa!#REF!,0),12),1,,,"Programa"))),"")</f>
        <v/>
      </c>
      <c r="E434" s="81"/>
      <c r="F434" s="81"/>
      <c r="G434" s="82"/>
      <c r="H434" s="82"/>
      <c r="I434" s="82"/>
      <c r="J434" s="82"/>
      <c r="K434" s="82"/>
      <c r="L434" s="82"/>
      <c r="M434" s="82"/>
    </row>
    <row r="435" spans="1:13" x14ac:dyDescent="0.25">
      <c r="A435" s="84"/>
      <c r="B435" s="85"/>
      <c r="C435" s="125" t="str">
        <f>IF(ISNUMBER(A435),IF(ISERROR(MATCH(A435,Programa!#REF!,0)),"Nunca",(INDEX(Programa!$A:$A,12)-D435)/7&amp;" semanas"),"")</f>
        <v/>
      </c>
      <c r="D435" s="121" t="str">
        <f ca="1">IF(ISNUMBER(A435),IF(ISERROR(MATCH(A435,Programa!#REF!,0)),"",INDIRECT(ADDRESS(12+MATCH(A435,Programa!#REF!,0)-MOD(12+MATCH(A435,Programa!#REF!,0),12),1,,,"Programa"))),"")</f>
        <v/>
      </c>
      <c r="E435" s="81"/>
      <c r="F435" s="81"/>
      <c r="G435" s="82"/>
      <c r="H435" s="82"/>
      <c r="I435" s="82"/>
      <c r="J435" s="82"/>
      <c r="K435" s="82"/>
      <c r="L435" s="82"/>
      <c r="M435" s="82"/>
    </row>
    <row r="436" spans="1:13" x14ac:dyDescent="0.25">
      <c r="A436" s="84"/>
      <c r="B436" s="85"/>
      <c r="C436" s="125" t="str">
        <f>IF(ISNUMBER(A436),IF(ISERROR(MATCH(A436,Programa!#REF!,0)),"Nunca",(INDEX(Programa!$A:$A,12)-D436)/7&amp;" semanas"),"")</f>
        <v/>
      </c>
      <c r="D436" s="121" t="str">
        <f ca="1">IF(ISNUMBER(A436),IF(ISERROR(MATCH(A436,Programa!#REF!,0)),"",INDIRECT(ADDRESS(12+MATCH(A436,Programa!#REF!,0)-MOD(12+MATCH(A436,Programa!#REF!,0),12),1,,,"Programa"))),"")</f>
        <v/>
      </c>
      <c r="E436" s="81"/>
      <c r="F436" s="81"/>
      <c r="G436" s="82"/>
      <c r="H436" s="82"/>
      <c r="I436" s="82"/>
      <c r="J436" s="82"/>
      <c r="K436" s="82"/>
      <c r="L436" s="82"/>
      <c r="M436" s="82"/>
    </row>
    <row r="437" spans="1:13" x14ac:dyDescent="0.25">
      <c r="A437" s="84"/>
      <c r="B437" s="85"/>
      <c r="C437" s="125" t="str">
        <f>IF(ISNUMBER(A437),IF(ISERROR(MATCH(A437,Programa!#REF!,0)),"Nunca",(INDEX(Programa!$A:$A,12)-D437)/7&amp;" semanas"),"")</f>
        <v/>
      </c>
      <c r="D437" s="121" t="str">
        <f ca="1">IF(ISNUMBER(A437),IF(ISERROR(MATCH(A437,Programa!#REF!,0)),"",INDIRECT(ADDRESS(12+MATCH(A437,Programa!#REF!,0)-MOD(12+MATCH(A437,Programa!#REF!,0),12),1,,,"Programa"))),"")</f>
        <v/>
      </c>
      <c r="E437" s="81"/>
      <c r="F437" s="81"/>
      <c r="G437" s="82"/>
      <c r="H437" s="82"/>
      <c r="I437" s="82"/>
      <c r="J437" s="82"/>
      <c r="K437" s="82"/>
      <c r="L437" s="82"/>
      <c r="M437" s="82"/>
    </row>
    <row r="438" spans="1:13" x14ac:dyDescent="0.25">
      <c r="A438" s="84"/>
      <c r="B438" s="85"/>
      <c r="C438" s="125" t="str">
        <f>IF(ISNUMBER(A438),IF(ISERROR(MATCH(A438,Programa!#REF!,0)),"Nunca",(INDEX(Programa!$A:$A,12)-D438)/7&amp;" semanas"),"")</f>
        <v/>
      </c>
      <c r="D438" s="121" t="str">
        <f ca="1">IF(ISNUMBER(A438),IF(ISERROR(MATCH(A438,Programa!#REF!,0)),"",INDIRECT(ADDRESS(12+MATCH(A438,Programa!#REF!,0)-MOD(12+MATCH(A438,Programa!#REF!,0),12),1,,,"Programa"))),"")</f>
        <v/>
      </c>
      <c r="E438" s="81"/>
      <c r="F438" s="81"/>
      <c r="G438" s="82"/>
      <c r="H438" s="82"/>
      <c r="I438" s="82"/>
      <c r="J438" s="82"/>
      <c r="K438" s="82"/>
      <c r="L438" s="82"/>
      <c r="M438" s="82"/>
    </row>
    <row r="439" spans="1:13" x14ac:dyDescent="0.25">
      <c r="A439" s="84"/>
      <c r="B439" s="85"/>
      <c r="C439" s="125" t="str">
        <f>IF(ISNUMBER(A439),IF(ISERROR(MATCH(A439,Programa!#REF!,0)),"Nunca",(INDEX(Programa!$A:$A,12)-D439)/7&amp;" semanas"),"")</f>
        <v/>
      </c>
      <c r="D439" s="121" t="str">
        <f ca="1">IF(ISNUMBER(A439),IF(ISERROR(MATCH(A439,Programa!#REF!,0)),"",INDIRECT(ADDRESS(12+MATCH(A439,Programa!#REF!,0)-MOD(12+MATCH(A439,Programa!#REF!,0),12),1,,,"Programa"))),"")</f>
        <v/>
      </c>
      <c r="E439" s="81"/>
      <c r="F439" s="81"/>
      <c r="G439" s="82"/>
      <c r="H439" s="82"/>
      <c r="I439" s="82"/>
      <c r="J439" s="82"/>
      <c r="K439" s="82"/>
      <c r="L439" s="82"/>
      <c r="M439" s="82"/>
    </row>
    <row r="440" spans="1:13" x14ac:dyDescent="0.25">
      <c r="A440" s="84"/>
      <c r="B440" s="85"/>
      <c r="C440" s="125" t="str">
        <f>IF(ISNUMBER(A440),IF(ISERROR(MATCH(A440,Programa!#REF!,0)),"Nunca",(INDEX(Programa!$A:$A,12)-D440)/7&amp;" semanas"),"")</f>
        <v/>
      </c>
      <c r="D440" s="121" t="str">
        <f ca="1">IF(ISNUMBER(A440),IF(ISERROR(MATCH(A440,Programa!#REF!,0)),"",INDIRECT(ADDRESS(12+MATCH(A440,Programa!#REF!,0)-MOD(12+MATCH(A440,Programa!#REF!,0),12),1,,,"Programa"))),"")</f>
        <v/>
      </c>
      <c r="E440" s="81"/>
      <c r="F440" s="81"/>
      <c r="G440" s="82"/>
      <c r="H440" s="82"/>
      <c r="I440" s="82"/>
      <c r="J440" s="82"/>
      <c r="K440" s="82"/>
      <c r="L440" s="82"/>
      <c r="M440" s="82"/>
    </row>
    <row r="441" spans="1:13" x14ac:dyDescent="0.25">
      <c r="A441" s="84"/>
      <c r="B441" s="85"/>
      <c r="C441" s="125" t="str">
        <f>IF(ISNUMBER(A441),IF(ISERROR(MATCH(A441,Programa!#REF!,0)),"Nunca",(INDEX(Programa!$A:$A,12)-D441)/7&amp;" semanas"),"")</f>
        <v/>
      </c>
      <c r="D441" s="121" t="str">
        <f ca="1">IF(ISNUMBER(A441),IF(ISERROR(MATCH(A441,Programa!#REF!,0)),"",INDIRECT(ADDRESS(12+MATCH(A441,Programa!#REF!,0)-MOD(12+MATCH(A441,Programa!#REF!,0),12),1,,,"Programa"))),"")</f>
        <v/>
      </c>
      <c r="E441" s="81"/>
      <c r="F441" s="81"/>
      <c r="G441" s="82"/>
      <c r="H441" s="82"/>
      <c r="I441" s="82"/>
      <c r="J441" s="82"/>
      <c r="K441" s="82"/>
      <c r="L441" s="82"/>
      <c r="M441" s="82"/>
    </row>
    <row r="442" spans="1:13" x14ac:dyDescent="0.25">
      <c r="A442" s="84"/>
      <c r="B442" s="85"/>
      <c r="C442" s="125" t="str">
        <f>IF(ISNUMBER(A442),IF(ISERROR(MATCH(A442,Programa!#REF!,0)),"Nunca",(INDEX(Programa!$A:$A,12)-D442)/7&amp;" semanas"),"")</f>
        <v/>
      </c>
      <c r="D442" s="121" t="str">
        <f ca="1">IF(ISNUMBER(A442),IF(ISERROR(MATCH(A442,Programa!#REF!,0)),"",INDIRECT(ADDRESS(12+MATCH(A442,Programa!#REF!,0)-MOD(12+MATCH(A442,Programa!#REF!,0),12),1,,,"Programa"))),"")</f>
        <v/>
      </c>
      <c r="E442" s="81"/>
      <c r="F442" s="81"/>
      <c r="G442" s="82"/>
      <c r="H442" s="82"/>
      <c r="I442" s="82"/>
      <c r="J442" s="82"/>
      <c r="K442" s="82"/>
      <c r="L442" s="82"/>
      <c r="M442" s="82"/>
    </row>
    <row r="443" spans="1:13" x14ac:dyDescent="0.25">
      <c r="A443" s="84"/>
      <c r="B443" s="85"/>
      <c r="C443" s="125" t="str">
        <f>IF(ISNUMBER(A443),IF(ISERROR(MATCH(A443,Programa!#REF!,0)),"Nunca",(INDEX(Programa!$A:$A,12)-D443)/7&amp;" semanas"),"")</f>
        <v/>
      </c>
      <c r="D443" s="121" t="str">
        <f ca="1">IF(ISNUMBER(A443),IF(ISERROR(MATCH(A443,Programa!#REF!,0)),"",INDIRECT(ADDRESS(12+MATCH(A443,Programa!#REF!,0)-MOD(12+MATCH(A443,Programa!#REF!,0),12),1,,,"Programa"))),"")</f>
        <v/>
      </c>
      <c r="E443" s="81"/>
      <c r="F443" s="81"/>
      <c r="G443" s="82"/>
      <c r="H443" s="82"/>
      <c r="I443" s="82"/>
      <c r="J443" s="82"/>
      <c r="K443" s="82"/>
      <c r="L443" s="82"/>
      <c r="M443" s="82"/>
    </row>
    <row r="444" spans="1:13" x14ac:dyDescent="0.25">
      <c r="A444" s="84"/>
      <c r="B444" s="85"/>
      <c r="C444" s="125" t="str">
        <f>IF(ISNUMBER(A444),IF(ISERROR(MATCH(A444,Programa!#REF!,0)),"Nunca",(INDEX(Programa!$A:$A,12)-D444)/7&amp;" semanas"),"")</f>
        <v/>
      </c>
      <c r="D444" s="121" t="str">
        <f ca="1">IF(ISNUMBER(A444),IF(ISERROR(MATCH(A444,Programa!#REF!,0)),"",INDIRECT(ADDRESS(12+MATCH(A444,Programa!#REF!,0)-MOD(12+MATCH(A444,Programa!#REF!,0),12),1,,,"Programa"))),"")</f>
        <v/>
      </c>
      <c r="E444" s="81"/>
      <c r="F444" s="81"/>
      <c r="G444" s="82"/>
      <c r="H444" s="82"/>
      <c r="I444" s="82"/>
      <c r="J444" s="82"/>
      <c r="K444" s="82"/>
      <c r="L444" s="82"/>
      <c r="M444" s="82"/>
    </row>
    <row r="445" spans="1:13" x14ac:dyDescent="0.25">
      <c r="A445" s="84"/>
      <c r="B445" s="85"/>
      <c r="C445" s="125" t="str">
        <f>IF(ISNUMBER(A445),IF(ISERROR(MATCH(A445,Programa!#REF!,0)),"Nunca",(INDEX(Programa!$A:$A,12)-D445)/7&amp;" semanas"),"")</f>
        <v/>
      </c>
      <c r="D445" s="121" t="str">
        <f ca="1">IF(ISNUMBER(A445),IF(ISERROR(MATCH(A445,Programa!#REF!,0)),"",INDIRECT(ADDRESS(12+MATCH(A445,Programa!#REF!,0)-MOD(12+MATCH(A445,Programa!#REF!,0),12),1,,,"Programa"))),"")</f>
        <v/>
      </c>
      <c r="E445" s="81"/>
      <c r="F445" s="81"/>
      <c r="G445" s="82"/>
      <c r="H445" s="82"/>
      <c r="I445" s="82"/>
      <c r="J445" s="82"/>
      <c r="K445" s="82"/>
      <c r="L445" s="82"/>
      <c r="M445" s="82"/>
    </row>
    <row r="446" spans="1:13" x14ac:dyDescent="0.25">
      <c r="A446" s="84"/>
      <c r="B446" s="85"/>
      <c r="C446" s="125" t="str">
        <f>IF(ISNUMBER(A446),IF(ISERROR(MATCH(A446,Programa!#REF!,0)),"Nunca",(INDEX(Programa!$A:$A,12)-D446)/7&amp;" semanas"),"")</f>
        <v/>
      </c>
      <c r="D446" s="121" t="str">
        <f ca="1">IF(ISNUMBER(A446),IF(ISERROR(MATCH(A446,Programa!#REF!,0)),"",INDIRECT(ADDRESS(12+MATCH(A446,Programa!#REF!,0)-MOD(12+MATCH(A446,Programa!#REF!,0),12),1,,,"Programa"))),"")</f>
        <v/>
      </c>
      <c r="E446" s="81"/>
      <c r="F446" s="81"/>
      <c r="G446" s="82"/>
      <c r="H446" s="82"/>
      <c r="I446" s="82"/>
      <c r="J446" s="82"/>
      <c r="K446" s="82"/>
      <c r="L446" s="82"/>
      <c r="M446" s="82"/>
    </row>
    <row r="447" spans="1:13" x14ac:dyDescent="0.25">
      <c r="A447" s="84"/>
      <c r="B447" s="85"/>
      <c r="C447" s="125" t="str">
        <f>IF(ISNUMBER(A447),IF(ISERROR(MATCH(A447,Programa!#REF!,0)),"Nunca",(INDEX(Programa!$A:$A,12)-D447)/7&amp;" semanas"),"")</f>
        <v/>
      </c>
      <c r="D447" s="121" t="str">
        <f ca="1">IF(ISNUMBER(A447),IF(ISERROR(MATCH(A447,Programa!#REF!,0)),"",INDIRECT(ADDRESS(12+MATCH(A447,Programa!#REF!,0)-MOD(12+MATCH(A447,Programa!#REF!,0),12),1,,,"Programa"))),"")</f>
        <v/>
      </c>
      <c r="E447" s="81"/>
      <c r="F447" s="81"/>
      <c r="G447" s="82"/>
      <c r="H447" s="82"/>
      <c r="I447" s="82"/>
      <c r="J447" s="82"/>
      <c r="K447" s="82"/>
      <c r="L447" s="82"/>
      <c r="M447" s="82"/>
    </row>
    <row r="448" spans="1:13" x14ac:dyDescent="0.25">
      <c r="A448" s="84"/>
      <c r="B448" s="85"/>
      <c r="C448" s="125" t="str">
        <f>IF(ISNUMBER(A448),IF(ISERROR(MATCH(A448,Programa!#REF!,0)),"Nunca",(INDEX(Programa!$A:$A,12)-D448)/7&amp;" semanas"),"")</f>
        <v/>
      </c>
      <c r="D448" s="121" t="str">
        <f ca="1">IF(ISNUMBER(A448),IF(ISERROR(MATCH(A448,Programa!#REF!,0)),"",INDIRECT(ADDRESS(12+MATCH(A448,Programa!#REF!,0)-MOD(12+MATCH(A448,Programa!#REF!,0),12),1,,,"Programa"))),"")</f>
        <v/>
      </c>
      <c r="E448" s="81"/>
      <c r="F448" s="81"/>
      <c r="G448" s="82"/>
      <c r="H448" s="82"/>
      <c r="I448" s="82"/>
      <c r="J448" s="82"/>
      <c r="K448" s="82"/>
      <c r="L448" s="82"/>
      <c r="M448" s="82"/>
    </row>
    <row r="449" spans="1:13" x14ac:dyDescent="0.25">
      <c r="A449" s="84"/>
      <c r="B449" s="85"/>
      <c r="C449" s="125" t="str">
        <f>IF(ISNUMBER(A449),IF(ISERROR(MATCH(A449,Programa!#REF!,0)),"Nunca",(INDEX(Programa!$A:$A,12)-D449)/7&amp;" semanas"),"")</f>
        <v/>
      </c>
      <c r="D449" s="121" t="str">
        <f ca="1">IF(ISNUMBER(A449),IF(ISERROR(MATCH(A449,Programa!#REF!,0)),"",INDIRECT(ADDRESS(12+MATCH(A449,Programa!#REF!,0)-MOD(12+MATCH(A449,Programa!#REF!,0),12),1,,,"Programa"))),"")</f>
        <v/>
      </c>
      <c r="E449" s="81"/>
      <c r="F449" s="81"/>
      <c r="G449" s="82"/>
      <c r="H449" s="82"/>
      <c r="I449" s="82"/>
      <c r="J449" s="82"/>
      <c r="K449" s="82"/>
      <c r="L449" s="82"/>
      <c r="M449" s="82"/>
    </row>
    <row r="450" spans="1:13" x14ac:dyDescent="0.25">
      <c r="A450" s="84"/>
      <c r="B450" s="85"/>
      <c r="C450" s="125" t="str">
        <f>IF(ISNUMBER(A450),IF(ISERROR(MATCH(A450,Programa!#REF!,0)),"Nunca",(INDEX(Programa!$A:$A,12)-D450)/7&amp;" semanas"),"")</f>
        <v/>
      </c>
      <c r="D450" s="121" t="str">
        <f ca="1">IF(ISNUMBER(A450),IF(ISERROR(MATCH(A450,Programa!#REF!,0)),"",INDIRECT(ADDRESS(12+MATCH(A450,Programa!#REF!,0)-MOD(12+MATCH(A450,Programa!#REF!,0),12),1,,,"Programa"))),"")</f>
        <v/>
      </c>
      <c r="E450" s="81"/>
      <c r="F450" s="81"/>
      <c r="G450" s="82"/>
      <c r="H450" s="82"/>
      <c r="I450" s="82"/>
      <c r="J450" s="82"/>
      <c r="K450" s="82"/>
      <c r="L450" s="82"/>
      <c r="M450" s="82"/>
    </row>
    <row r="451" spans="1:13" x14ac:dyDescent="0.25">
      <c r="A451" s="84"/>
      <c r="B451" s="85"/>
      <c r="C451" s="125" t="str">
        <f>IF(ISNUMBER(A451),IF(ISERROR(MATCH(A451,Programa!#REF!,0)),"Nunca",(INDEX(Programa!$A:$A,12)-D451)/7&amp;" semanas"),"")</f>
        <v/>
      </c>
      <c r="D451" s="121" t="str">
        <f ca="1">IF(ISNUMBER(A451),IF(ISERROR(MATCH(A451,Programa!#REF!,0)),"",INDIRECT(ADDRESS(12+MATCH(A451,Programa!#REF!,0)-MOD(12+MATCH(A451,Programa!#REF!,0),12),1,,,"Programa"))),"")</f>
        <v/>
      </c>
      <c r="E451" s="81"/>
      <c r="F451" s="81"/>
      <c r="G451" s="82"/>
      <c r="H451" s="82"/>
      <c r="I451" s="82"/>
      <c r="J451" s="82"/>
      <c r="K451" s="82"/>
      <c r="L451" s="82"/>
      <c r="M451" s="82"/>
    </row>
    <row r="452" spans="1:13" x14ac:dyDescent="0.25">
      <c r="A452" s="84"/>
      <c r="B452" s="85"/>
      <c r="C452" s="125" t="str">
        <f>IF(ISNUMBER(A452),IF(ISERROR(MATCH(A452,Programa!#REF!,0)),"Nunca",(INDEX(Programa!$A:$A,12)-D452)/7&amp;" semanas"),"")</f>
        <v/>
      </c>
      <c r="D452" s="121" t="str">
        <f ca="1">IF(ISNUMBER(A452),IF(ISERROR(MATCH(A452,Programa!#REF!,0)),"",INDIRECT(ADDRESS(12+MATCH(A452,Programa!#REF!,0)-MOD(12+MATCH(A452,Programa!#REF!,0),12),1,,,"Programa"))),"")</f>
        <v/>
      </c>
      <c r="E452" s="81"/>
      <c r="F452" s="81"/>
      <c r="G452" s="82"/>
      <c r="H452" s="82"/>
      <c r="I452" s="82"/>
      <c r="J452" s="82"/>
      <c r="K452" s="82"/>
      <c r="L452" s="82"/>
      <c r="M452" s="82"/>
    </row>
    <row r="453" spans="1:13" x14ac:dyDescent="0.25">
      <c r="A453" s="84"/>
      <c r="B453" s="85"/>
      <c r="C453" s="125" t="str">
        <f>IF(ISNUMBER(A453),IF(ISERROR(MATCH(A453,Programa!#REF!,0)),"Nunca",(INDEX(Programa!$A:$A,12)-D453)/7&amp;" semanas"),"")</f>
        <v/>
      </c>
      <c r="D453" s="121" t="str">
        <f ca="1">IF(ISNUMBER(A453),IF(ISERROR(MATCH(A453,Programa!#REF!,0)),"",INDIRECT(ADDRESS(12+MATCH(A453,Programa!#REF!,0)-MOD(12+MATCH(A453,Programa!#REF!,0),12),1,,,"Programa"))),"")</f>
        <v/>
      </c>
      <c r="E453" s="81"/>
      <c r="F453" s="81"/>
      <c r="G453" s="82"/>
      <c r="H453" s="82"/>
      <c r="I453" s="82"/>
      <c r="J453" s="82"/>
      <c r="K453" s="82"/>
      <c r="L453" s="82"/>
      <c r="M453" s="82"/>
    </row>
    <row r="454" spans="1:13" x14ac:dyDescent="0.25">
      <c r="A454" s="84"/>
      <c r="B454" s="85"/>
      <c r="C454" s="125" t="str">
        <f>IF(ISNUMBER(A454),IF(ISERROR(MATCH(A454,Programa!#REF!,0)),"Nunca",(INDEX(Programa!$A:$A,12)-D454)/7&amp;" semanas"),"")</f>
        <v/>
      </c>
      <c r="D454" s="121" t="str">
        <f ca="1">IF(ISNUMBER(A454),IF(ISERROR(MATCH(A454,Programa!#REF!,0)),"",INDIRECT(ADDRESS(12+MATCH(A454,Programa!#REF!,0)-MOD(12+MATCH(A454,Programa!#REF!,0),12),1,,,"Programa"))),"")</f>
        <v/>
      </c>
      <c r="E454" s="81"/>
      <c r="F454" s="81"/>
      <c r="G454" s="82"/>
      <c r="H454" s="82"/>
      <c r="I454" s="82"/>
      <c r="J454" s="82"/>
      <c r="K454" s="82"/>
      <c r="L454" s="82"/>
      <c r="M454" s="82"/>
    </row>
    <row r="455" spans="1:13" x14ac:dyDescent="0.25">
      <c r="A455" s="84"/>
      <c r="B455" s="85"/>
      <c r="C455" s="125" t="str">
        <f>IF(ISNUMBER(A455),IF(ISERROR(MATCH(A455,Programa!#REF!,0)),"Nunca",(INDEX(Programa!$A:$A,12)-D455)/7&amp;" semanas"),"")</f>
        <v/>
      </c>
      <c r="D455" s="121" t="str">
        <f ca="1">IF(ISNUMBER(A455),IF(ISERROR(MATCH(A455,Programa!#REF!,0)),"",INDIRECT(ADDRESS(12+MATCH(A455,Programa!#REF!,0)-MOD(12+MATCH(A455,Programa!#REF!,0),12),1,,,"Programa"))),"")</f>
        <v/>
      </c>
      <c r="E455" s="81"/>
      <c r="F455" s="81"/>
      <c r="G455" s="82"/>
      <c r="H455" s="82"/>
      <c r="I455" s="82"/>
      <c r="J455" s="82"/>
      <c r="K455" s="82"/>
      <c r="L455" s="82"/>
      <c r="M455" s="82"/>
    </row>
    <row r="456" spans="1:13" x14ac:dyDescent="0.25">
      <c r="A456" s="84"/>
      <c r="B456" s="85"/>
      <c r="C456" s="125" t="str">
        <f>IF(ISNUMBER(A456),IF(ISERROR(MATCH(A456,Programa!#REF!,0)),"Nunca",(INDEX(Programa!$A:$A,12)-D456)/7&amp;" semanas"),"")</f>
        <v/>
      </c>
      <c r="D456" s="121" t="str">
        <f ca="1">IF(ISNUMBER(A456),IF(ISERROR(MATCH(A456,Programa!#REF!,0)),"",INDIRECT(ADDRESS(12+MATCH(A456,Programa!#REF!,0)-MOD(12+MATCH(A456,Programa!#REF!,0),12),1,,,"Programa"))),"")</f>
        <v/>
      </c>
      <c r="E456" s="81"/>
      <c r="F456" s="81"/>
      <c r="G456" s="82"/>
      <c r="H456" s="82"/>
      <c r="I456" s="82"/>
      <c r="J456" s="82"/>
      <c r="K456" s="82"/>
      <c r="L456" s="82"/>
      <c r="M456" s="82"/>
    </row>
    <row r="457" spans="1:13" x14ac:dyDescent="0.25">
      <c r="A457" s="84"/>
      <c r="B457" s="85"/>
      <c r="C457" s="125" t="str">
        <f>IF(ISNUMBER(A457),IF(ISERROR(MATCH(A457,Programa!#REF!,0)),"Nunca",(INDEX(Programa!$A:$A,12)-D457)/7&amp;" semanas"),"")</f>
        <v/>
      </c>
      <c r="D457" s="121" t="str">
        <f ca="1">IF(ISNUMBER(A457),IF(ISERROR(MATCH(A457,Programa!#REF!,0)),"",INDIRECT(ADDRESS(12+MATCH(A457,Programa!#REF!,0)-MOD(12+MATCH(A457,Programa!#REF!,0),12),1,,,"Programa"))),"")</f>
        <v/>
      </c>
      <c r="E457" s="81"/>
      <c r="F457" s="81"/>
      <c r="G457" s="82"/>
      <c r="H457" s="82"/>
      <c r="I457" s="82"/>
      <c r="J457" s="82"/>
      <c r="K457" s="82"/>
      <c r="L457" s="82"/>
      <c r="M457" s="82"/>
    </row>
    <row r="458" spans="1:13" x14ac:dyDescent="0.25">
      <c r="A458" s="84"/>
      <c r="B458" s="85"/>
      <c r="C458" s="125" t="str">
        <f>IF(ISNUMBER(A458),IF(ISERROR(MATCH(A458,Programa!#REF!,0)),"Nunca",(INDEX(Programa!$A:$A,12)-D458)/7&amp;" semanas"),"")</f>
        <v/>
      </c>
      <c r="D458" s="121" t="str">
        <f ca="1">IF(ISNUMBER(A458),IF(ISERROR(MATCH(A458,Programa!#REF!,0)),"",INDIRECT(ADDRESS(12+MATCH(A458,Programa!#REF!,0)-MOD(12+MATCH(A458,Programa!#REF!,0),12),1,,,"Programa"))),"")</f>
        <v/>
      </c>
      <c r="E458" s="81"/>
      <c r="F458" s="81"/>
      <c r="G458" s="82"/>
      <c r="H458" s="82"/>
      <c r="I458" s="82"/>
      <c r="J458" s="82"/>
      <c r="K458" s="82"/>
      <c r="L458" s="82"/>
      <c r="M458" s="82"/>
    </row>
    <row r="459" spans="1:13" x14ac:dyDescent="0.25">
      <c r="A459" s="84"/>
      <c r="B459" s="85"/>
      <c r="C459" s="125" t="str">
        <f>IF(ISNUMBER(A459),IF(ISERROR(MATCH(A459,Programa!#REF!,0)),"Nunca",(INDEX(Programa!$A:$A,12)-D459)/7&amp;" semanas"),"")</f>
        <v/>
      </c>
      <c r="D459" s="121" t="str">
        <f ca="1">IF(ISNUMBER(A459),IF(ISERROR(MATCH(A459,Programa!#REF!,0)),"",INDIRECT(ADDRESS(12+MATCH(A459,Programa!#REF!,0)-MOD(12+MATCH(A459,Programa!#REF!,0),12),1,,,"Programa"))),"")</f>
        <v/>
      </c>
      <c r="E459" s="81"/>
      <c r="F459" s="81"/>
      <c r="G459" s="82"/>
      <c r="H459" s="82"/>
      <c r="I459" s="82"/>
      <c r="J459" s="82"/>
      <c r="K459" s="82"/>
      <c r="L459" s="82"/>
      <c r="M459" s="82"/>
    </row>
    <row r="460" spans="1:13" x14ac:dyDescent="0.25">
      <c r="A460" s="84"/>
      <c r="B460" s="85"/>
      <c r="C460" s="125" t="str">
        <f>IF(ISNUMBER(A460),IF(ISERROR(MATCH(A460,Programa!#REF!,0)),"Nunca",(INDEX(Programa!$A:$A,12)-D460)/7&amp;" semanas"),"")</f>
        <v/>
      </c>
      <c r="D460" s="121" t="str">
        <f ca="1">IF(ISNUMBER(A460),IF(ISERROR(MATCH(A460,Programa!#REF!,0)),"",INDIRECT(ADDRESS(12+MATCH(A460,Programa!#REF!,0)-MOD(12+MATCH(A460,Programa!#REF!,0),12),1,,,"Programa"))),"")</f>
        <v/>
      </c>
      <c r="E460" s="81"/>
      <c r="F460" s="81"/>
      <c r="G460" s="82"/>
      <c r="H460" s="82"/>
      <c r="I460" s="82"/>
      <c r="J460" s="82"/>
      <c r="K460" s="82"/>
      <c r="L460" s="82"/>
      <c r="M460" s="82"/>
    </row>
    <row r="461" spans="1:13" x14ac:dyDescent="0.25">
      <c r="A461" s="84"/>
      <c r="B461" s="85"/>
      <c r="C461" s="125" t="str">
        <f>IF(ISNUMBER(A461),IF(ISERROR(MATCH(A461,Programa!#REF!,0)),"Nunca",(INDEX(Programa!$A:$A,12)-D461)/7&amp;" semanas"),"")</f>
        <v/>
      </c>
      <c r="D461" s="121" t="str">
        <f ca="1">IF(ISNUMBER(A461),IF(ISERROR(MATCH(A461,Programa!#REF!,0)),"",INDIRECT(ADDRESS(12+MATCH(A461,Programa!#REF!,0)-MOD(12+MATCH(A461,Programa!#REF!,0),12),1,,,"Programa"))),"")</f>
        <v/>
      </c>
      <c r="E461" s="81"/>
      <c r="F461" s="81"/>
      <c r="G461" s="82"/>
      <c r="H461" s="82"/>
      <c r="I461" s="82"/>
      <c r="J461" s="82"/>
      <c r="K461" s="82"/>
      <c r="L461" s="82"/>
      <c r="M461" s="82"/>
    </row>
    <row r="462" spans="1:13" x14ac:dyDescent="0.25">
      <c r="A462" s="84"/>
      <c r="B462" s="85"/>
      <c r="C462" s="125" t="str">
        <f>IF(ISNUMBER(A462),IF(ISERROR(MATCH(A462,Programa!#REF!,0)),"Nunca",(INDEX(Programa!$A:$A,12)-D462)/7&amp;" semanas"),"")</f>
        <v/>
      </c>
      <c r="D462" s="121" t="str">
        <f ca="1">IF(ISNUMBER(A462),IF(ISERROR(MATCH(A462,Programa!#REF!,0)),"",INDIRECT(ADDRESS(12+MATCH(A462,Programa!#REF!,0)-MOD(12+MATCH(A462,Programa!#REF!,0),12),1,,,"Programa"))),"")</f>
        <v/>
      </c>
      <c r="E462" s="81"/>
      <c r="F462" s="81"/>
      <c r="G462" s="82"/>
      <c r="H462" s="82"/>
      <c r="I462" s="82"/>
      <c r="J462" s="82"/>
      <c r="K462" s="82"/>
      <c r="L462" s="82"/>
      <c r="M462" s="82"/>
    </row>
    <row r="463" spans="1:13" x14ac:dyDescent="0.25">
      <c r="A463" s="84"/>
      <c r="B463" s="85"/>
      <c r="C463" s="125" t="str">
        <f>IF(ISNUMBER(A463),IF(ISERROR(MATCH(A463,Programa!#REF!,0)),"Nunca",(INDEX(Programa!$A:$A,12)-D463)/7&amp;" semanas"),"")</f>
        <v/>
      </c>
      <c r="D463" s="121" t="str">
        <f ca="1">IF(ISNUMBER(A463),IF(ISERROR(MATCH(A463,Programa!#REF!,0)),"",INDIRECT(ADDRESS(12+MATCH(A463,Programa!#REF!,0)-MOD(12+MATCH(A463,Programa!#REF!,0),12),1,,,"Programa"))),"")</f>
        <v/>
      </c>
      <c r="E463" s="81"/>
      <c r="F463" s="81"/>
      <c r="G463" s="82"/>
      <c r="H463" s="82"/>
      <c r="I463" s="82"/>
      <c r="J463" s="82"/>
      <c r="K463" s="82"/>
      <c r="L463" s="82"/>
      <c r="M463" s="82"/>
    </row>
    <row r="464" spans="1:13" x14ac:dyDescent="0.25">
      <c r="A464" s="84"/>
      <c r="B464" s="85"/>
      <c r="C464" s="125" t="str">
        <f>IF(ISNUMBER(A464),IF(ISERROR(MATCH(A464,Programa!#REF!,0)),"Nunca",(INDEX(Programa!$A:$A,12)-D464)/7&amp;" semanas"),"")</f>
        <v/>
      </c>
      <c r="D464" s="121" t="str">
        <f ca="1">IF(ISNUMBER(A464),IF(ISERROR(MATCH(A464,Programa!#REF!,0)),"",INDIRECT(ADDRESS(12+MATCH(A464,Programa!#REF!,0)-MOD(12+MATCH(A464,Programa!#REF!,0),12),1,,,"Programa"))),"")</f>
        <v/>
      </c>
      <c r="E464" s="81"/>
      <c r="F464" s="81"/>
      <c r="G464" s="82"/>
      <c r="H464" s="82"/>
      <c r="I464" s="82"/>
      <c r="J464" s="82"/>
      <c r="K464" s="82"/>
      <c r="L464" s="82"/>
      <c r="M464" s="82"/>
    </row>
    <row r="465" spans="1:13" x14ac:dyDescent="0.25">
      <c r="A465" s="84"/>
      <c r="B465" s="85"/>
      <c r="C465" s="125" t="str">
        <f>IF(ISNUMBER(A465),IF(ISERROR(MATCH(A465,Programa!#REF!,0)),"Nunca",(INDEX(Programa!$A:$A,12)-D465)/7&amp;" semanas"),"")</f>
        <v/>
      </c>
      <c r="D465" s="121" t="str">
        <f ca="1">IF(ISNUMBER(A465),IF(ISERROR(MATCH(A465,Programa!#REF!,0)),"",INDIRECT(ADDRESS(12+MATCH(A465,Programa!#REF!,0)-MOD(12+MATCH(A465,Programa!#REF!,0),12),1,,,"Programa"))),"")</f>
        <v/>
      </c>
      <c r="E465" s="81"/>
      <c r="F465" s="81"/>
      <c r="G465" s="82"/>
      <c r="H465" s="82"/>
      <c r="I465" s="82"/>
      <c r="J465" s="82"/>
      <c r="K465" s="82"/>
      <c r="L465" s="82"/>
      <c r="M465" s="82"/>
    </row>
    <row r="466" spans="1:13" x14ac:dyDescent="0.25">
      <c r="A466" s="84"/>
      <c r="B466" s="85"/>
      <c r="C466" s="125" t="str">
        <f>IF(ISNUMBER(A466),IF(ISERROR(MATCH(A466,Programa!#REF!,0)),"Nunca",(INDEX(Programa!$A:$A,12)-D466)/7&amp;" semanas"),"")</f>
        <v/>
      </c>
      <c r="D466" s="121" t="str">
        <f ca="1">IF(ISNUMBER(A466),IF(ISERROR(MATCH(A466,Programa!#REF!,0)),"",INDIRECT(ADDRESS(12+MATCH(A466,Programa!#REF!,0)-MOD(12+MATCH(A466,Programa!#REF!,0),12),1,,,"Programa"))),"")</f>
        <v/>
      </c>
      <c r="E466" s="81"/>
      <c r="F466" s="81"/>
      <c r="G466" s="82"/>
      <c r="H466" s="82"/>
      <c r="I466" s="82"/>
      <c r="J466" s="82"/>
      <c r="K466" s="82"/>
      <c r="L466" s="82"/>
      <c r="M466" s="82"/>
    </row>
    <row r="467" spans="1:13" x14ac:dyDescent="0.25">
      <c r="A467" s="84"/>
      <c r="B467" s="85"/>
      <c r="C467" s="125" t="str">
        <f>IF(ISNUMBER(A467),IF(ISERROR(MATCH(A467,Programa!#REF!,0)),"Nunca",(INDEX(Programa!$A:$A,12)-D467)/7&amp;" semanas"),"")</f>
        <v/>
      </c>
      <c r="D467" s="121" t="str">
        <f ca="1">IF(ISNUMBER(A467),IF(ISERROR(MATCH(A467,Programa!#REF!,0)),"",INDIRECT(ADDRESS(12+MATCH(A467,Programa!#REF!,0)-MOD(12+MATCH(A467,Programa!#REF!,0),12),1,,,"Programa"))),"")</f>
        <v/>
      </c>
      <c r="E467" s="81"/>
      <c r="F467" s="81"/>
      <c r="G467" s="82"/>
      <c r="H467" s="82"/>
      <c r="I467" s="82"/>
      <c r="J467" s="82"/>
      <c r="K467" s="82"/>
      <c r="L467" s="82"/>
      <c r="M467" s="82"/>
    </row>
    <row r="468" spans="1:13" x14ac:dyDescent="0.25">
      <c r="A468" s="84"/>
      <c r="B468" s="85"/>
      <c r="C468" s="125" t="str">
        <f>IF(ISNUMBER(A468),IF(ISERROR(MATCH(A468,Programa!#REF!,0)),"Nunca",(INDEX(Programa!$A:$A,12)-D468)/7&amp;" semanas"),"")</f>
        <v/>
      </c>
      <c r="D468" s="121" t="str">
        <f ca="1">IF(ISNUMBER(A468),IF(ISERROR(MATCH(A468,Programa!#REF!,0)),"",INDIRECT(ADDRESS(12+MATCH(A468,Programa!#REF!,0)-MOD(12+MATCH(A468,Programa!#REF!,0),12),1,,,"Programa"))),"")</f>
        <v/>
      </c>
      <c r="E468" s="81"/>
      <c r="F468" s="81"/>
      <c r="G468" s="82"/>
      <c r="H468" s="82"/>
      <c r="I468" s="82"/>
      <c r="J468" s="82"/>
      <c r="K468" s="82"/>
      <c r="L468" s="82"/>
      <c r="M468" s="82"/>
    </row>
    <row r="469" spans="1:13" x14ac:dyDescent="0.25">
      <c r="A469" s="84"/>
      <c r="B469" s="85"/>
      <c r="C469" s="125" t="str">
        <f>IF(ISNUMBER(A469),IF(ISERROR(MATCH(A469,Programa!#REF!,0)),"Nunca",(INDEX(Programa!$A:$A,12)-D469)/7&amp;" semanas"),"")</f>
        <v/>
      </c>
      <c r="D469" s="121" t="str">
        <f ca="1">IF(ISNUMBER(A469),IF(ISERROR(MATCH(A469,Programa!#REF!,0)),"",INDIRECT(ADDRESS(12+MATCH(A469,Programa!#REF!,0)-MOD(12+MATCH(A469,Programa!#REF!,0),12),1,,,"Programa"))),"")</f>
        <v/>
      </c>
      <c r="E469" s="81"/>
      <c r="F469" s="81"/>
      <c r="G469" s="82"/>
      <c r="H469" s="82"/>
      <c r="I469" s="82"/>
      <c r="J469" s="82"/>
      <c r="K469" s="82"/>
      <c r="L469" s="82"/>
      <c r="M469" s="82"/>
    </row>
    <row r="470" spans="1:13" x14ac:dyDescent="0.25">
      <c r="A470" s="84"/>
      <c r="B470" s="85"/>
      <c r="C470" s="125" t="str">
        <f>IF(ISNUMBER(A470),IF(ISERROR(MATCH(A470,Programa!#REF!,0)),"Nunca",(INDEX(Programa!$A:$A,12)-D470)/7&amp;" semanas"),"")</f>
        <v/>
      </c>
      <c r="D470" s="121" t="str">
        <f ca="1">IF(ISNUMBER(A470),IF(ISERROR(MATCH(A470,Programa!#REF!,0)),"",INDIRECT(ADDRESS(12+MATCH(A470,Programa!#REF!,0)-MOD(12+MATCH(A470,Programa!#REF!,0),12),1,,,"Programa"))),"")</f>
        <v/>
      </c>
      <c r="E470" s="81"/>
      <c r="F470" s="81"/>
      <c r="G470" s="82"/>
      <c r="H470" s="82"/>
      <c r="I470" s="82"/>
      <c r="J470" s="82"/>
      <c r="K470" s="82"/>
      <c r="L470" s="82"/>
      <c r="M470" s="82"/>
    </row>
    <row r="471" spans="1:13" x14ac:dyDescent="0.25">
      <c r="A471" s="84"/>
      <c r="B471" s="85"/>
      <c r="C471" s="125" t="str">
        <f>IF(ISNUMBER(A471),IF(ISERROR(MATCH(A471,Programa!#REF!,0)),"Nunca",(INDEX(Programa!$A:$A,12)-D471)/7&amp;" semanas"),"")</f>
        <v/>
      </c>
      <c r="D471" s="121" t="str">
        <f ca="1">IF(ISNUMBER(A471),IF(ISERROR(MATCH(A471,Programa!#REF!,0)),"",INDIRECT(ADDRESS(12+MATCH(A471,Programa!#REF!,0)-MOD(12+MATCH(A471,Programa!#REF!,0),12),1,,,"Programa"))),"")</f>
        <v/>
      </c>
      <c r="E471" s="81"/>
      <c r="F471" s="81"/>
      <c r="G471" s="82"/>
      <c r="H471" s="82"/>
      <c r="I471" s="82"/>
      <c r="J471" s="82"/>
      <c r="K471" s="82"/>
      <c r="L471" s="82"/>
      <c r="M471" s="82"/>
    </row>
    <row r="472" spans="1:13" x14ac:dyDescent="0.25">
      <c r="A472" s="84"/>
      <c r="B472" s="85"/>
      <c r="C472" s="125" t="str">
        <f>IF(ISNUMBER(A472),IF(ISERROR(MATCH(A472,Programa!#REF!,0)),"Nunca",(INDEX(Programa!$A:$A,12)-D472)/7&amp;" semanas"),"")</f>
        <v/>
      </c>
      <c r="D472" s="121" t="str">
        <f ca="1">IF(ISNUMBER(A472),IF(ISERROR(MATCH(A472,Programa!#REF!,0)),"",INDIRECT(ADDRESS(12+MATCH(A472,Programa!#REF!,0)-MOD(12+MATCH(A472,Programa!#REF!,0),12),1,,,"Programa"))),"")</f>
        <v/>
      </c>
      <c r="E472" s="81"/>
      <c r="F472" s="81"/>
      <c r="G472" s="82"/>
      <c r="H472" s="82"/>
      <c r="I472" s="82"/>
      <c r="J472" s="82"/>
      <c r="K472" s="82"/>
      <c r="L472" s="82"/>
      <c r="M472" s="82"/>
    </row>
    <row r="473" spans="1:13" x14ac:dyDescent="0.25">
      <c r="A473" s="84"/>
      <c r="B473" s="85"/>
      <c r="C473" s="125" t="str">
        <f>IF(ISNUMBER(A473),IF(ISERROR(MATCH(A473,Programa!#REF!,0)),"Nunca",(INDEX(Programa!$A:$A,12)-D473)/7&amp;" semanas"),"")</f>
        <v/>
      </c>
      <c r="D473" s="121" t="str">
        <f ca="1">IF(ISNUMBER(A473),IF(ISERROR(MATCH(A473,Programa!#REF!,0)),"",INDIRECT(ADDRESS(12+MATCH(A473,Programa!#REF!,0)-MOD(12+MATCH(A473,Programa!#REF!,0),12),1,,,"Programa"))),"")</f>
        <v/>
      </c>
      <c r="E473" s="81"/>
      <c r="F473" s="81"/>
      <c r="G473" s="82"/>
      <c r="H473" s="82"/>
      <c r="I473" s="82"/>
      <c r="J473" s="82"/>
      <c r="K473" s="82"/>
      <c r="L473" s="82"/>
      <c r="M473" s="82"/>
    </row>
    <row r="474" spans="1:13" x14ac:dyDescent="0.25">
      <c r="A474" s="84"/>
      <c r="B474" s="85"/>
      <c r="C474" s="125" t="str">
        <f>IF(ISNUMBER(A474),IF(ISERROR(MATCH(A474,Programa!#REF!,0)),"Nunca",(INDEX(Programa!$A:$A,12)-D474)/7&amp;" semanas"),"")</f>
        <v/>
      </c>
      <c r="D474" s="121" t="str">
        <f ca="1">IF(ISNUMBER(A474),IF(ISERROR(MATCH(A474,Programa!#REF!,0)),"",INDIRECT(ADDRESS(12+MATCH(A474,Programa!#REF!,0)-MOD(12+MATCH(A474,Programa!#REF!,0),12),1,,,"Programa"))),"")</f>
        <v/>
      </c>
      <c r="E474" s="81"/>
      <c r="F474" s="81"/>
      <c r="G474" s="82"/>
      <c r="H474" s="82"/>
      <c r="I474" s="82"/>
      <c r="J474" s="82"/>
      <c r="K474" s="82"/>
      <c r="L474" s="82"/>
      <c r="M474" s="82"/>
    </row>
    <row r="475" spans="1:13" x14ac:dyDescent="0.25">
      <c r="A475" s="84"/>
      <c r="B475" s="85"/>
      <c r="C475" s="125" t="str">
        <f>IF(ISNUMBER(A475),IF(ISERROR(MATCH(A475,Programa!#REF!,0)),"Nunca",(INDEX(Programa!$A:$A,12)-D475)/7&amp;" semanas"),"")</f>
        <v/>
      </c>
      <c r="D475" s="121" t="str">
        <f ca="1">IF(ISNUMBER(A475),IF(ISERROR(MATCH(A475,Programa!#REF!,0)),"",INDIRECT(ADDRESS(12+MATCH(A475,Programa!#REF!,0)-MOD(12+MATCH(A475,Programa!#REF!,0),12),1,,,"Programa"))),"")</f>
        <v/>
      </c>
      <c r="E475" s="81"/>
      <c r="F475" s="81"/>
      <c r="G475" s="82"/>
      <c r="H475" s="82"/>
      <c r="I475" s="82"/>
      <c r="J475" s="82"/>
      <c r="K475" s="82"/>
      <c r="L475" s="82"/>
      <c r="M475" s="82"/>
    </row>
    <row r="476" spans="1:13" x14ac:dyDescent="0.25">
      <c r="A476" s="84"/>
      <c r="B476" s="85"/>
      <c r="C476" s="125" t="str">
        <f>IF(ISNUMBER(A476),IF(ISERROR(MATCH(A476,Programa!#REF!,0)),"Nunca",(INDEX(Programa!$A:$A,12)-D476)/7&amp;" semanas"),"")</f>
        <v/>
      </c>
      <c r="D476" s="121" t="str">
        <f ca="1">IF(ISNUMBER(A476),IF(ISERROR(MATCH(A476,Programa!#REF!,0)),"",INDIRECT(ADDRESS(12+MATCH(A476,Programa!#REF!,0)-MOD(12+MATCH(A476,Programa!#REF!,0),12),1,,,"Programa"))),"")</f>
        <v/>
      </c>
      <c r="E476" s="81"/>
      <c r="F476" s="81"/>
      <c r="G476" s="82"/>
      <c r="H476" s="82"/>
      <c r="I476" s="82"/>
      <c r="J476" s="82"/>
      <c r="K476" s="82"/>
      <c r="L476" s="82"/>
      <c r="M476" s="82"/>
    </row>
    <row r="477" spans="1:13" x14ac:dyDescent="0.25">
      <c r="A477" s="84"/>
      <c r="B477" s="85"/>
      <c r="C477" s="125" t="str">
        <f>IF(ISNUMBER(A477),IF(ISERROR(MATCH(A477,Programa!#REF!,0)),"Nunca",(INDEX(Programa!$A:$A,12)-D477)/7&amp;" semanas"),"")</f>
        <v/>
      </c>
      <c r="D477" s="121" t="str">
        <f ca="1">IF(ISNUMBER(A477),IF(ISERROR(MATCH(A477,Programa!#REF!,0)),"",INDIRECT(ADDRESS(12+MATCH(A477,Programa!#REF!,0)-MOD(12+MATCH(A477,Programa!#REF!,0),12),1,,,"Programa"))),"")</f>
        <v/>
      </c>
      <c r="E477" s="81"/>
      <c r="F477" s="81"/>
      <c r="G477" s="82"/>
      <c r="H477" s="82"/>
      <c r="I477" s="82"/>
      <c r="J477" s="82"/>
      <c r="K477" s="82"/>
      <c r="L477" s="82"/>
      <c r="M477" s="82"/>
    </row>
    <row r="478" spans="1:13" x14ac:dyDescent="0.25">
      <c r="A478" s="84"/>
      <c r="B478" s="85"/>
      <c r="C478" s="125" t="str">
        <f>IF(ISNUMBER(A478),IF(ISERROR(MATCH(A478,Programa!#REF!,0)),"Nunca",(INDEX(Programa!$A:$A,12)-D478)/7&amp;" semanas"),"")</f>
        <v/>
      </c>
      <c r="D478" s="121" t="str">
        <f ca="1">IF(ISNUMBER(A478),IF(ISERROR(MATCH(A478,Programa!#REF!,0)),"",INDIRECT(ADDRESS(12+MATCH(A478,Programa!#REF!,0)-MOD(12+MATCH(A478,Programa!#REF!,0),12),1,,,"Programa"))),"")</f>
        <v/>
      </c>
      <c r="E478" s="81"/>
      <c r="F478" s="81"/>
      <c r="G478" s="82"/>
      <c r="H478" s="82"/>
      <c r="I478" s="82"/>
      <c r="J478" s="82"/>
      <c r="K478" s="82"/>
      <c r="L478" s="82"/>
      <c r="M478" s="82"/>
    </row>
    <row r="479" spans="1:13" x14ac:dyDescent="0.25">
      <c r="A479" s="84"/>
      <c r="B479" s="85"/>
      <c r="C479" s="125" t="str">
        <f>IF(ISNUMBER(A479),IF(ISERROR(MATCH(A479,Programa!#REF!,0)),"Nunca",(INDEX(Programa!$A:$A,12)-D479)/7&amp;" semanas"),"")</f>
        <v/>
      </c>
      <c r="D479" s="121" t="str">
        <f ca="1">IF(ISNUMBER(A479),IF(ISERROR(MATCH(A479,Programa!#REF!,0)),"",INDIRECT(ADDRESS(12+MATCH(A479,Programa!#REF!,0)-MOD(12+MATCH(A479,Programa!#REF!,0),12),1,,,"Programa"))),"")</f>
        <v/>
      </c>
      <c r="E479" s="81"/>
      <c r="F479" s="81"/>
      <c r="G479" s="82"/>
      <c r="H479" s="82"/>
      <c r="I479" s="82"/>
      <c r="J479" s="82"/>
      <c r="K479" s="82"/>
      <c r="L479" s="82"/>
      <c r="M479" s="82"/>
    </row>
    <row r="480" spans="1:13" x14ac:dyDescent="0.25">
      <c r="A480" s="108"/>
      <c r="B480" s="109"/>
      <c r="C480" s="125" t="str">
        <f>IF(ISNUMBER(A480),IF(ISERROR(MATCH(A480,Programa!#REF!,0)),"Nunca",(INDEX(Programa!$A:$A,12)-D480)/7&amp;" semanas"),"")</f>
        <v/>
      </c>
      <c r="D480" s="121" t="str">
        <f ca="1">IF(ISNUMBER(A480),IF(ISERROR(MATCH(A480,Programa!#REF!,0)),"",INDIRECT(ADDRESS(12+MATCH(A480,Programa!#REF!,0)-MOD(12+MATCH(A480,Programa!#REF!,0),12),1,,,"Programa"))),"")</f>
        <v/>
      </c>
      <c r="E480" s="81"/>
      <c r="F480" s="81"/>
      <c r="G480" s="82"/>
      <c r="H480" s="82"/>
      <c r="I480" s="82"/>
      <c r="J480" s="82"/>
      <c r="K480" s="82"/>
      <c r="L480" s="82"/>
      <c r="M480" s="82"/>
    </row>
    <row r="481" spans="1:13" x14ac:dyDescent="0.25">
      <c r="A481" s="108"/>
      <c r="B481" s="109"/>
      <c r="C481" s="125" t="str">
        <f>IF(ISNUMBER(A481),IF(ISERROR(MATCH(A481,Programa!#REF!,0)),"Nunca",(INDEX(Programa!$A:$A,12)-D481)/7&amp;" semanas"),"")</f>
        <v/>
      </c>
      <c r="D481" s="121" t="str">
        <f ca="1">IF(ISNUMBER(A481),IF(ISERROR(MATCH(A481,Programa!#REF!,0)),"",INDIRECT(ADDRESS(12+MATCH(A481,Programa!#REF!,0)-MOD(12+MATCH(A481,Programa!#REF!,0),12),1,,,"Programa"))),"")</f>
        <v/>
      </c>
      <c r="E481" s="81"/>
      <c r="F481" s="81"/>
      <c r="G481" s="82"/>
      <c r="H481" s="82"/>
      <c r="I481" s="82"/>
      <c r="J481" s="82"/>
      <c r="K481" s="82"/>
      <c r="L481" s="82"/>
      <c r="M481" s="82"/>
    </row>
    <row r="482" spans="1:13" x14ac:dyDescent="0.25">
      <c r="A482" s="108"/>
      <c r="B482" s="109"/>
      <c r="C482" s="125" t="str">
        <f>IF(ISNUMBER(A482),IF(ISERROR(MATCH(A482,Programa!#REF!,0)),"Nunca",(INDEX(Programa!$A:$A,12)-D482)/7&amp;" semanas"),"")</f>
        <v/>
      </c>
      <c r="D482" s="121" t="str">
        <f ca="1">IF(ISNUMBER(A482),IF(ISERROR(MATCH(A482,Programa!#REF!,0)),"",INDIRECT(ADDRESS(12+MATCH(A482,Programa!#REF!,0)-MOD(12+MATCH(A482,Programa!#REF!,0),12),1,,,"Programa"))),"")</f>
        <v/>
      </c>
      <c r="E482" s="81"/>
      <c r="F482" s="81"/>
      <c r="G482" s="82"/>
      <c r="H482" s="82"/>
      <c r="I482" s="82"/>
      <c r="J482" s="82"/>
      <c r="K482" s="82"/>
      <c r="L482" s="82"/>
      <c r="M482" s="82"/>
    </row>
    <row r="483" spans="1:13" x14ac:dyDescent="0.25">
      <c r="A483" s="108"/>
      <c r="B483" s="109"/>
      <c r="C483" s="125" t="str">
        <f>IF(ISNUMBER(A483),IF(ISERROR(MATCH(A483,Programa!#REF!,0)),"Nunca",(INDEX(Programa!$A:$A,12)-D483)/7&amp;" semanas"),"")</f>
        <v/>
      </c>
      <c r="D483" s="121" t="str">
        <f ca="1">IF(ISNUMBER(A483),IF(ISERROR(MATCH(A483,Programa!#REF!,0)),"",INDIRECT(ADDRESS(12+MATCH(A483,Programa!#REF!,0)-MOD(12+MATCH(A483,Programa!#REF!,0),12),1,,,"Programa"))),"")</f>
        <v/>
      </c>
      <c r="E483" s="81"/>
      <c r="F483" s="81"/>
      <c r="G483" s="82"/>
      <c r="H483" s="82"/>
      <c r="I483" s="82"/>
      <c r="J483" s="82"/>
      <c r="K483" s="82"/>
      <c r="L483" s="82"/>
      <c r="M483" s="82"/>
    </row>
    <row r="484" spans="1:13" x14ac:dyDescent="0.25">
      <c r="A484" s="84"/>
      <c r="B484" s="85"/>
      <c r="C484" s="125" t="str">
        <f>IF(ISNUMBER(A484),IF(ISERROR(MATCH(A484,Programa!#REF!,0)),"Nunca",(INDEX(Programa!$A:$A,12)-D484)/7&amp;" semanas"),"")</f>
        <v/>
      </c>
      <c r="D484" s="121" t="str">
        <f ca="1">IF(ISNUMBER(A484),IF(ISERROR(MATCH(A484,Programa!#REF!,0)),"",INDIRECT(ADDRESS(12+MATCH(A484,Programa!#REF!,0)-MOD(12+MATCH(A484,Programa!#REF!,0),12),1,,,"Programa"))),"")</f>
        <v/>
      </c>
      <c r="E484" s="81"/>
      <c r="F484" s="81"/>
      <c r="G484" s="82"/>
      <c r="H484" s="82"/>
      <c r="I484" s="82"/>
      <c r="J484" s="82"/>
      <c r="K484" s="82"/>
      <c r="L484" s="82"/>
      <c r="M484" s="82"/>
    </row>
    <row r="485" spans="1:13" x14ac:dyDescent="0.25">
      <c r="A485" s="84"/>
      <c r="B485" s="85"/>
      <c r="C485" s="125" t="str">
        <f>IF(ISNUMBER(A485),IF(ISERROR(MATCH(A485,Programa!#REF!,0)),"Nunca",(INDEX(Programa!$A:$A,12)-D485)/7&amp;" semanas"),"")</f>
        <v/>
      </c>
      <c r="D485" s="121" t="str">
        <f ca="1">IF(ISNUMBER(A485),IF(ISERROR(MATCH(A485,Programa!#REF!,0)),"",INDIRECT(ADDRESS(12+MATCH(A485,Programa!#REF!,0)-MOD(12+MATCH(A485,Programa!#REF!,0),12),1,,,"Programa"))),"")</f>
        <v/>
      </c>
      <c r="E485" s="81"/>
      <c r="F485" s="81"/>
      <c r="G485" s="82"/>
      <c r="H485" s="82"/>
      <c r="I485" s="82"/>
      <c r="J485" s="82"/>
      <c r="K485" s="82"/>
      <c r="L485" s="82"/>
      <c r="M485" s="82"/>
    </row>
    <row r="486" spans="1:13" x14ac:dyDescent="0.25">
      <c r="A486" s="84"/>
      <c r="B486" s="85"/>
      <c r="C486" s="125" t="str">
        <f>IF(ISNUMBER(A486),IF(ISERROR(MATCH(A486,Programa!#REF!,0)),"Nunca",(INDEX(Programa!$A:$A,12)-D486)/7&amp;" semanas"),"")</f>
        <v/>
      </c>
      <c r="D486" s="121" t="str">
        <f ca="1">IF(ISNUMBER(A486),IF(ISERROR(MATCH(A486,Programa!#REF!,0)),"",INDIRECT(ADDRESS(12+MATCH(A486,Programa!#REF!,0)-MOD(12+MATCH(A486,Programa!#REF!,0),12),1,,,"Programa"))),"")</f>
        <v/>
      </c>
      <c r="E486" s="81"/>
      <c r="F486" s="81"/>
      <c r="G486" s="82"/>
      <c r="H486" s="82"/>
      <c r="I486" s="82"/>
      <c r="J486" s="82"/>
      <c r="K486" s="82"/>
      <c r="L486" s="82"/>
      <c r="M486" s="82"/>
    </row>
    <row r="487" spans="1:13" x14ac:dyDescent="0.25">
      <c r="A487" s="84"/>
      <c r="B487" s="85"/>
      <c r="C487" s="125" t="str">
        <f>IF(ISNUMBER(A487),IF(ISERROR(MATCH(A487,Programa!#REF!,0)),"Nunca",(INDEX(Programa!$A:$A,12)-D487)/7&amp;" semanas"),"")</f>
        <v/>
      </c>
      <c r="D487" s="121" t="str">
        <f ca="1">IF(ISNUMBER(A487),IF(ISERROR(MATCH(A487,Programa!#REF!,0)),"",INDIRECT(ADDRESS(12+MATCH(A487,Programa!#REF!,0)-MOD(12+MATCH(A487,Programa!#REF!,0),12),1,,,"Programa"))),"")</f>
        <v/>
      </c>
      <c r="E487" s="81"/>
      <c r="F487" s="81"/>
      <c r="G487" s="82"/>
      <c r="H487" s="82"/>
      <c r="I487" s="82"/>
      <c r="J487" s="82"/>
      <c r="K487" s="82"/>
      <c r="L487" s="82"/>
      <c r="M487" s="82"/>
    </row>
    <row r="488" spans="1:13" x14ac:dyDescent="0.25">
      <c r="A488" s="84"/>
      <c r="B488" s="85"/>
      <c r="C488" s="125" t="str">
        <f>IF(ISNUMBER(A488),IF(ISERROR(MATCH(A488,Programa!#REF!,0)),"Nunca",(INDEX(Programa!$A:$A,12)-D488)/7&amp;" semanas"),"")</f>
        <v/>
      </c>
      <c r="D488" s="121" t="str">
        <f ca="1">IF(ISNUMBER(A488),IF(ISERROR(MATCH(A488,Programa!#REF!,0)),"",INDIRECT(ADDRESS(12+MATCH(A488,Programa!#REF!,0)-MOD(12+MATCH(A488,Programa!#REF!,0),12),1,,,"Programa"))),"")</f>
        <v/>
      </c>
      <c r="E488" s="81"/>
      <c r="F488" s="81"/>
      <c r="G488" s="82"/>
      <c r="H488" s="82"/>
      <c r="I488" s="82"/>
      <c r="J488" s="82"/>
      <c r="K488" s="82"/>
      <c r="L488" s="82"/>
      <c r="M488" s="82"/>
    </row>
    <row r="489" spans="1:13" x14ac:dyDescent="0.25">
      <c r="A489" s="84"/>
      <c r="B489" s="85"/>
      <c r="C489" s="125" t="str">
        <f>IF(ISNUMBER(A489),IF(ISERROR(MATCH(A489,Programa!#REF!,0)),"Nunca",(INDEX(Programa!$A:$A,12)-D489)/7&amp;" semanas"),"")</f>
        <v/>
      </c>
      <c r="D489" s="121" t="str">
        <f ca="1">IF(ISNUMBER(A489),IF(ISERROR(MATCH(A489,Programa!#REF!,0)),"",INDIRECT(ADDRESS(12+MATCH(A489,Programa!#REF!,0)-MOD(12+MATCH(A489,Programa!#REF!,0),12),1,,,"Programa"))),"")</f>
        <v/>
      </c>
      <c r="E489" s="81"/>
      <c r="F489" s="81"/>
      <c r="G489" s="82"/>
      <c r="H489" s="82"/>
      <c r="I489" s="82"/>
      <c r="J489" s="82"/>
      <c r="K489" s="82"/>
      <c r="L489" s="82"/>
      <c r="M489" s="82"/>
    </row>
    <row r="490" spans="1:13" x14ac:dyDescent="0.25">
      <c r="A490" s="84"/>
      <c r="B490" s="85"/>
      <c r="C490" s="125" t="str">
        <f>IF(ISNUMBER(A490),IF(ISERROR(MATCH(A490,Programa!#REF!,0)),"Nunca",(INDEX(Programa!$A:$A,12)-D490)/7&amp;" semanas"),"")</f>
        <v/>
      </c>
      <c r="D490" s="121" t="str">
        <f ca="1">IF(ISNUMBER(A490),IF(ISERROR(MATCH(A490,Programa!#REF!,0)),"",INDIRECT(ADDRESS(12+MATCH(A490,Programa!#REF!,0)-MOD(12+MATCH(A490,Programa!#REF!,0),12),1,,,"Programa"))),"")</f>
        <v/>
      </c>
      <c r="E490" s="81"/>
      <c r="F490" s="81"/>
      <c r="G490" s="82"/>
      <c r="H490" s="82"/>
      <c r="I490" s="82"/>
      <c r="J490" s="82"/>
      <c r="K490" s="82"/>
      <c r="L490" s="82"/>
      <c r="M490" s="82"/>
    </row>
    <row r="491" spans="1:13" x14ac:dyDescent="0.25">
      <c r="A491" s="84"/>
      <c r="B491" s="85"/>
      <c r="C491" s="125" t="str">
        <f>IF(ISNUMBER(A491),IF(ISERROR(MATCH(A491,Programa!#REF!,0)),"Nunca",(INDEX(Programa!$A:$A,12)-D491)/7&amp;" semanas"),"")</f>
        <v/>
      </c>
      <c r="D491" s="121" t="str">
        <f ca="1">IF(ISNUMBER(A491),IF(ISERROR(MATCH(A491,Programa!#REF!,0)),"",INDIRECT(ADDRESS(12+MATCH(A491,Programa!#REF!,0)-MOD(12+MATCH(A491,Programa!#REF!,0),12),1,,,"Programa"))),"")</f>
        <v/>
      </c>
      <c r="E491" s="81"/>
      <c r="F491" s="81"/>
      <c r="G491" s="82"/>
      <c r="H491" s="82"/>
      <c r="I491" s="82"/>
      <c r="J491" s="82"/>
      <c r="K491" s="82"/>
      <c r="L491" s="82"/>
      <c r="M491" s="82"/>
    </row>
    <row r="492" spans="1:13" x14ac:dyDescent="0.25">
      <c r="A492" s="84"/>
      <c r="B492" s="85"/>
      <c r="C492" s="125" t="str">
        <f>IF(ISNUMBER(A492),IF(ISERROR(MATCH(A492,Programa!#REF!,0)),"Nunca",(INDEX(Programa!$A:$A,12)-D492)/7&amp;" semanas"),"")</f>
        <v/>
      </c>
      <c r="D492" s="121" t="str">
        <f ca="1">IF(ISNUMBER(A492),IF(ISERROR(MATCH(A492,Programa!#REF!,0)),"",INDIRECT(ADDRESS(12+MATCH(A492,Programa!#REF!,0)-MOD(12+MATCH(A492,Programa!#REF!,0),12),1,,,"Programa"))),"")</f>
        <v/>
      </c>
      <c r="E492" s="81"/>
      <c r="F492" s="81"/>
      <c r="G492" s="82"/>
      <c r="H492" s="82"/>
      <c r="I492" s="82"/>
      <c r="J492" s="82"/>
      <c r="K492" s="82"/>
      <c r="L492" s="82"/>
      <c r="M492" s="82"/>
    </row>
    <row r="493" spans="1:13" x14ac:dyDescent="0.25">
      <c r="A493" s="84"/>
      <c r="B493" s="85"/>
      <c r="C493" s="125" t="str">
        <f>IF(ISNUMBER(A493),IF(ISERROR(MATCH(A493,Programa!#REF!,0)),"Nunca",(INDEX(Programa!$A:$A,12)-D493)/7&amp;" semanas"),"")</f>
        <v/>
      </c>
      <c r="D493" s="121" t="str">
        <f ca="1">IF(ISNUMBER(A493),IF(ISERROR(MATCH(A493,Programa!#REF!,0)),"",INDIRECT(ADDRESS(12+MATCH(A493,Programa!#REF!,0)-MOD(12+MATCH(A493,Programa!#REF!,0),12),1,,,"Programa"))),"")</f>
        <v/>
      </c>
      <c r="E493" s="81"/>
      <c r="F493" s="81"/>
      <c r="G493" s="82"/>
      <c r="H493" s="82"/>
      <c r="I493" s="82"/>
      <c r="J493" s="82"/>
      <c r="K493" s="82"/>
      <c r="L493" s="82"/>
      <c r="M493" s="82"/>
    </row>
    <row r="494" spans="1:13" x14ac:dyDescent="0.25">
      <c r="A494" s="84"/>
      <c r="B494" s="85"/>
      <c r="C494" s="125" t="str">
        <f>IF(ISNUMBER(A494),IF(ISERROR(MATCH(A494,Programa!#REF!,0)),"Nunca",(INDEX(Programa!$A:$A,12)-D494)/7&amp;" semanas"),"")</f>
        <v/>
      </c>
      <c r="D494" s="121" t="str">
        <f ca="1">IF(ISNUMBER(A494),IF(ISERROR(MATCH(A494,Programa!#REF!,0)),"",INDIRECT(ADDRESS(12+MATCH(A494,Programa!#REF!,0)-MOD(12+MATCH(A494,Programa!#REF!,0),12),1,,,"Programa"))),"")</f>
        <v/>
      </c>
      <c r="E494" s="81"/>
      <c r="F494" s="81"/>
      <c r="G494" s="82"/>
      <c r="H494" s="82"/>
      <c r="I494" s="82"/>
      <c r="J494" s="82"/>
      <c r="K494" s="82"/>
      <c r="L494" s="82"/>
      <c r="M494" s="82"/>
    </row>
    <row r="495" spans="1:13" x14ac:dyDescent="0.25">
      <c r="A495" s="84"/>
      <c r="B495" s="85"/>
      <c r="C495" s="125" t="str">
        <f>IF(ISNUMBER(A495),IF(ISERROR(MATCH(A495,Programa!#REF!,0)),"Nunca",(INDEX(Programa!$A:$A,12)-D495)/7&amp;" semanas"),"")</f>
        <v/>
      </c>
      <c r="D495" s="121" t="str">
        <f ca="1">IF(ISNUMBER(A495),IF(ISERROR(MATCH(A495,Programa!#REF!,0)),"",INDIRECT(ADDRESS(12+MATCH(A495,Programa!#REF!,0)-MOD(12+MATCH(A495,Programa!#REF!,0),12),1,,,"Programa"))),"")</f>
        <v/>
      </c>
      <c r="E495" s="81"/>
      <c r="F495" s="81"/>
      <c r="G495" s="82"/>
      <c r="H495" s="82"/>
      <c r="I495" s="82"/>
      <c r="J495" s="82"/>
      <c r="K495" s="82"/>
      <c r="L495" s="82"/>
      <c r="M495" s="82"/>
    </row>
    <row r="496" spans="1:13" x14ac:dyDescent="0.25">
      <c r="A496" s="84"/>
      <c r="B496" s="85"/>
      <c r="C496" s="125" t="str">
        <f>IF(ISNUMBER(A496),IF(ISERROR(MATCH(A496,Programa!#REF!,0)),"Nunca",(INDEX(Programa!$A:$A,12)-D496)/7&amp;" semanas"),"")</f>
        <v/>
      </c>
      <c r="D496" s="121" t="str">
        <f ca="1">IF(ISNUMBER(A496),IF(ISERROR(MATCH(A496,Programa!#REF!,0)),"",INDIRECT(ADDRESS(12+MATCH(A496,Programa!#REF!,0)-MOD(12+MATCH(A496,Programa!#REF!,0),12),1,,,"Programa"))),"")</f>
        <v/>
      </c>
      <c r="E496" s="81"/>
      <c r="F496" s="81"/>
      <c r="G496" s="82"/>
      <c r="H496" s="82"/>
      <c r="I496" s="82"/>
      <c r="J496" s="82"/>
      <c r="K496" s="82"/>
      <c r="L496" s="82"/>
      <c r="M496" s="82"/>
    </row>
    <row r="497" spans="1:13" x14ac:dyDescent="0.25">
      <c r="A497" s="84"/>
      <c r="B497" s="85"/>
      <c r="C497" s="125" t="str">
        <f>IF(ISNUMBER(A497),IF(ISERROR(MATCH(A497,Programa!#REF!,0)),"Nunca",(INDEX(Programa!$A:$A,12)-D497)/7&amp;" semanas"),"")</f>
        <v/>
      </c>
      <c r="D497" s="121" t="str">
        <f ca="1">IF(ISNUMBER(A497),IF(ISERROR(MATCH(A497,Programa!#REF!,0)),"",INDIRECT(ADDRESS(12+MATCH(A497,Programa!#REF!,0)-MOD(12+MATCH(A497,Programa!#REF!,0),12),1,,,"Programa"))),"")</f>
        <v/>
      </c>
      <c r="E497" s="81"/>
      <c r="F497" s="81"/>
      <c r="G497" s="82"/>
      <c r="H497" s="82"/>
      <c r="I497" s="82"/>
      <c r="J497" s="82"/>
      <c r="K497" s="82"/>
      <c r="L497" s="82"/>
      <c r="M497" s="82"/>
    </row>
    <row r="498" spans="1:13" x14ac:dyDescent="0.25">
      <c r="A498" s="84"/>
      <c r="B498" s="85"/>
      <c r="C498" s="125" t="str">
        <f>IF(ISNUMBER(A498),IF(ISERROR(MATCH(A498,Programa!#REF!,0)),"Nunca",(INDEX(Programa!$A:$A,12)-D498)/7&amp;" semanas"),"")</f>
        <v/>
      </c>
      <c r="D498" s="121" t="str">
        <f ca="1">IF(ISNUMBER(A498),IF(ISERROR(MATCH(A498,Programa!#REF!,0)),"",INDIRECT(ADDRESS(12+MATCH(A498,Programa!#REF!,0)-MOD(12+MATCH(A498,Programa!#REF!,0),12),1,,,"Programa"))),"")</f>
        <v/>
      </c>
      <c r="E498" s="81"/>
      <c r="F498" s="81"/>
      <c r="G498" s="82"/>
      <c r="H498" s="82"/>
      <c r="I498" s="82"/>
      <c r="J498" s="82"/>
      <c r="K498" s="82"/>
      <c r="L498" s="82"/>
      <c r="M498" s="82"/>
    </row>
    <row r="499" spans="1:13" x14ac:dyDescent="0.25">
      <c r="A499" s="84"/>
      <c r="B499" s="85"/>
      <c r="C499" s="125" t="str">
        <f>IF(ISNUMBER(A499),IF(ISERROR(MATCH(A499,Programa!#REF!,0)),"Nunca",(INDEX(Programa!$A:$A,12)-D499)/7&amp;" semanas"),"")</f>
        <v/>
      </c>
      <c r="D499" s="121" t="str">
        <f ca="1">IF(ISNUMBER(A499),IF(ISERROR(MATCH(A499,Programa!#REF!,0)),"",INDIRECT(ADDRESS(12+MATCH(A499,Programa!#REF!,0)-MOD(12+MATCH(A499,Programa!#REF!,0),12),1,,,"Programa"))),"")</f>
        <v/>
      </c>
      <c r="E499" s="81"/>
      <c r="F499" s="81"/>
      <c r="G499" s="82"/>
      <c r="H499" s="82"/>
      <c r="I499" s="82"/>
      <c r="J499" s="82"/>
      <c r="K499" s="82"/>
      <c r="L499" s="82"/>
      <c r="M499" s="82"/>
    </row>
    <row r="500" spans="1:13" x14ac:dyDescent="0.25">
      <c r="A500" s="84"/>
      <c r="B500" s="85"/>
      <c r="C500" s="125" t="str">
        <f>IF(ISNUMBER(A500),IF(ISERROR(MATCH(A500,Programa!#REF!,0)),"Nunca",(INDEX(Programa!$A:$A,12)-D500)/7&amp;" semanas"),"")</f>
        <v/>
      </c>
      <c r="D500" s="121" t="str">
        <f ca="1">IF(ISNUMBER(A500),IF(ISERROR(MATCH(A500,Programa!#REF!,0)),"",INDIRECT(ADDRESS(12+MATCH(A500,Programa!#REF!,0)-MOD(12+MATCH(A500,Programa!#REF!,0),12),1,,,"Programa"))),"")</f>
        <v/>
      </c>
      <c r="E500" s="81"/>
      <c r="F500" s="81"/>
      <c r="G500" s="82"/>
      <c r="H500" s="82"/>
      <c r="I500" s="82"/>
      <c r="J500" s="82"/>
      <c r="K500" s="82"/>
      <c r="L500" s="82"/>
      <c r="M500" s="82"/>
    </row>
  </sheetData>
  <autoFilter ref="A2:M500"/>
  <sortState ref="A3:S431">
    <sortCondition ref="A431"/>
  </sortState>
  <mergeCells count="6">
    <mergeCell ref="G1:M1"/>
    <mergeCell ref="B1:B2"/>
    <mergeCell ref="A1:A2"/>
    <mergeCell ref="E1:E2"/>
    <mergeCell ref="F1:F2"/>
    <mergeCell ref="C1:D2"/>
  </mergeCells>
  <dataValidations count="1">
    <dataValidation type="custom" allowBlank="1" showInputMessage="1" showErrorMessage="1" error="Preencher somente com &quot;x&quot;" sqref="G3:M500">
      <formula1>G3="x"</formula1>
    </dataValidation>
  </dataValidations>
  <pageMargins left="0.511811024" right="0.511811024" top="0.78740157499999996" bottom="0.78740157499999996" header="0.31496062000000002" footer="0.31496062000000002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Categorias!$A$2:$A$7</xm:f>
          </x14:formula1>
          <xm:sqref>F3:F500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4"/>
  <sheetViews>
    <sheetView workbookViewId="0"/>
  </sheetViews>
  <sheetFormatPr defaultColWidth="9.140625" defaultRowHeight="15.75" x14ac:dyDescent="0.25"/>
  <cols>
    <col min="1" max="1" width="21" style="21" bestFit="1" customWidth="1"/>
    <col min="2" max="16384" width="9.140625" style="21"/>
  </cols>
  <sheetData>
    <row r="1" spans="1:1" x14ac:dyDescent="0.25">
      <c r="A1" s="87" t="s">
        <v>36</v>
      </c>
    </row>
    <row r="2" spans="1:1" x14ac:dyDescent="0.25">
      <c r="A2" s="21" t="s">
        <v>22</v>
      </c>
    </row>
    <row r="3" spans="1:1" x14ac:dyDescent="0.25">
      <c r="A3" s="21" t="s">
        <v>0</v>
      </c>
    </row>
    <row r="4" spans="1:1" x14ac:dyDescent="0.25">
      <c r="A4" s="21" t="s">
        <v>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Como usar</vt:lpstr>
      <vt:lpstr>Programa</vt:lpstr>
      <vt:lpstr>Imprimir</vt:lpstr>
      <vt:lpstr>Escala</vt:lpstr>
      <vt:lpstr>Índice</vt:lpstr>
      <vt:lpstr>Categorias</vt:lpstr>
      <vt:lpstr>Imprimir!Area_de_impressao</vt:lpstr>
      <vt:lpstr>HabilitarMacros</vt:lpstr>
      <vt:lpstr>MinimoIntervalo</vt:lpstr>
      <vt:lpstr>todasAsCifras</vt:lpstr>
      <vt:lpstr>todosOsSlides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Mendes</dc:creator>
  <cp:lastModifiedBy>Lucas Mendes</cp:lastModifiedBy>
  <cp:lastPrinted>2015-11-08T14:05:34Z</cp:lastPrinted>
  <dcterms:created xsi:type="dcterms:W3CDTF">2014-07-19T15:00:57Z</dcterms:created>
  <dcterms:modified xsi:type="dcterms:W3CDTF">2015-11-22T12:10:14Z</dcterms:modified>
</cp:coreProperties>
</file>